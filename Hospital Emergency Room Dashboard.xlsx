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2f7b3bd206e90df6/Documents/"/>
    </mc:Choice>
  </mc:AlternateContent>
  <xr:revisionPtr revIDLastSave="0" documentId="8_{F04AE5A5-04EA-4BFA-859E-40A86D9731F1}" xr6:coauthVersionLast="47" xr6:coauthVersionMax="47" xr10:uidLastSave="{00000000-0000-0000-0000-000000000000}"/>
  <bookViews>
    <workbookView xWindow="-108" yWindow="-108" windowWidth="23256" windowHeight="12456" tabRatio="715" activeTab="1" xr2:uid="{00DDA698-1F16-4946-B513-EE0FDCBF468F}"/>
  </bookViews>
  <sheets>
    <sheet name="PIVOT_REPORT" sheetId="1" r:id="rId1"/>
    <sheet name="DASHBOARD" sheetId="2" r:id="rId2"/>
    <sheet name="Daily_patient_No_ER " sheetId="3" r:id="rId3"/>
    <sheet name="Average_Wait_Time_Patient_ER" sheetId="4" r:id="rId4"/>
    <sheet name="Satisfaction_Patient_score" sheetId="5" r:id="rId5"/>
  </sheets>
  <definedNames>
    <definedName name="Slicer_Date__Month">#N/A</definedName>
    <definedName name="Slicer_Date__Year">#N/A</definedName>
  </definedNames>
  <calcPr calcId="191029"/>
  <pivotCaches>
    <pivotCache cacheId="2645" r:id="rId6"/>
    <pivotCache cacheId="2648" r:id="rId7"/>
    <pivotCache cacheId="2651" r:id="rId8"/>
    <pivotCache cacheId="2654" r:id="rId9"/>
    <pivotCache cacheId="2657" r:id="rId10"/>
    <pivotCache cacheId="2660" r:id="rId11"/>
    <pivotCache cacheId="2663" r:id="rId12"/>
    <pivotCache cacheId="2666" r:id="rId13"/>
    <pivotCache cacheId="2669" r:id="rId14"/>
    <pivotCache cacheId="2672" r:id="rId15"/>
    <pivotCache cacheId="2675" r:id="rId16"/>
    <pivotCache cacheId="2678" r:id="rId17"/>
  </pivotCaches>
  <extLst>
    <ext xmlns:x14="http://schemas.microsoft.com/office/spreadsheetml/2009/9/main" uri="{876F7934-8845-4945-9796-88D515C7AA90}">
      <x14:pivotCaches>
        <pivotCache cacheId="203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187805b7-d407-41a1-b832-290add62348f" name="Hospital Emergency Room Data" connection="Query - Hospital Emergency Room Data"/>
          <x15:modelTable id="Calender_Table_1790f78a-9896-4daa-bef7-8a1b25ec6059"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31" i="1" l="1"/>
  <c r="C31" i="1"/>
  <c r="A31" i="1"/>
  <c r="B30" i="1"/>
  <c r="C30" i="1"/>
  <c r="A3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A50E15-4AB1-49CD-B4EB-B446E2BC6621}" name="Query - Calender_Table" description="Connection to the 'Calender_Table' query in the workbook." type="100" refreshedVersion="7" minRefreshableVersion="5">
    <extLst>
      <ext xmlns:x15="http://schemas.microsoft.com/office/spreadsheetml/2010/11/main" uri="{DE250136-89BD-433C-8126-D09CA5730AF9}">
        <x15:connection id="9fc304f4-7ae2-4995-8978-e697a319a833"/>
      </ext>
    </extLst>
  </connection>
  <connection id="2" xr16:uid="{93DBEC94-84B4-4392-AAEC-54A37B457AED}"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012431e5-ab30-44b7-86b1-13a3dce54ddd"/>
      </ext>
    </extLst>
  </connection>
  <connection id="3" xr16:uid="{02A76938-57A5-46AB-BB0A-5217B9C083CB}"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<sst xmlns="http://schemas.openxmlformats.org/spreadsheetml/2006/main" count="91" uniqueCount="54">
  <si>
    <t>Distinct Count of Patient Id</t>
  </si>
  <si>
    <t xml:space="preserve">No.of Patient </t>
  </si>
  <si>
    <t>Average of Patient Waittime</t>
  </si>
  <si>
    <t>Average of Patient Satisfaction Score</t>
  </si>
  <si>
    <t>Row Labels</t>
  </si>
  <si>
    <t>Grand Total</t>
  </si>
  <si>
    <t>2023</t>
  </si>
  <si>
    <t>4-Feb</t>
  </si>
  <si>
    <t>5-Feb</t>
  </si>
  <si>
    <t>6-Feb</t>
  </si>
  <si>
    <t>7-Feb</t>
  </si>
  <si>
    <t>8-Feb</t>
  </si>
  <si>
    <t>9-Feb</t>
  </si>
  <si>
    <t>10-Feb</t>
  </si>
  <si>
    <t>11-Feb</t>
  </si>
  <si>
    <t>12-Feb</t>
  </si>
  <si>
    <t xml:space="preserve">Daily trend no of patient </t>
  </si>
  <si>
    <t>Average waiting time</t>
  </si>
  <si>
    <t>Satisfaction score</t>
  </si>
  <si>
    <t>Admitted</t>
  </si>
  <si>
    <t>Not admitted</t>
  </si>
  <si>
    <t>Count of Patient Admission Flag</t>
  </si>
  <si>
    <t>Count of Patient Admission Flag2</t>
  </si>
  <si>
    <t>Admission Status</t>
  </si>
  <si>
    <t>% Status</t>
  </si>
  <si>
    <t>Patient</t>
  </si>
  <si>
    <t>0-9</t>
  </si>
  <si>
    <t>10-19</t>
  </si>
  <si>
    <t>20-29</t>
  </si>
  <si>
    <t>30-39</t>
  </si>
  <si>
    <t>40-49</t>
  </si>
  <si>
    <t>50-59</t>
  </si>
  <si>
    <t>60-69</t>
  </si>
  <si>
    <t>70-79</t>
  </si>
  <si>
    <t>Count of Age Group</t>
  </si>
  <si>
    <t>Delay</t>
  </si>
  <si>
    <t>Ontime</t>
  </si>
  <si>
    <t>Age Group</t>
  </si>
  <si>
    <t xml:space="preserve">Waiting time </t>
  </si>
  <si>
    <t>Count of Patient attend Status</t>
  </si>
  <si>
    <t>Female</t>
  </si>
  <si>
    <t>Male</t>
  </si>
  <si>
    <t>Count of Patient Gender</t>
  </si>
  <si>
    <t xml:space="preserve">Gender vise </t>
  </si>
  <si>
    <t>Cardiology</t>
  </si>
  <si>
    <t>Gastroenterology</t>
  </si>
  <si>
    <t>General Practice</t>
  </si>
  <si>
    <t>Neurology</t>
  </si>
  <si>
    <t>None</t>
  </si>
  <si>
    <t>Orthopedics</t>
  </si>
  <si>
    <t>Physiotherapy</t>
  </si>
  <si>
    <t>Renal</t>
  </si>
  <si>
    <t>Count of Department Referral</t>
  </si>
  <si>
    <t xml:space="preserve">Department wise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</si>
</sst>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sz val="11"/>
      <color rgb="FFFF0000"/>
      <name val="Calibri"/>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theme="4" tint="0.79998168889431442"/>
        <bgColor indexed="64"/>
      </patternFill>
    </fill>
    <fill>
      <patternFill patternType="solid">
        <fgColor theme="0"/>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applyNumberFormat="1"/>
    <xf numFmtId="0" fontId="0" fillId="0" borderId="0" xfId="0" pivotButton="1"/>
    <xf numFmtId="2" fontId="0" fillId="0" borderId="0" xfId="0" applyNumberFormat="1"/>
    <xf numFmtId="0" fontId="2" fillId="2" borderId="0" xfId="0" applyFont="1" applyFill="1"/>
    <xf numFmtId="0" fontId="0" fillId="0" borderId="0" xfId="0" applyAlignment="1">
      <alignment horizontal="left"/>
    </xf>
    <xf numFmtId="0" fontId="0" fillId="3" borderId="0" xfId="0" applyFill="1"/>
    <xf numFmtId="1" fontId="0" fillId="0" borderId="0" xfId="0" applyNumberFormat="1"/>
    <xf numFmtId="10" fontId="0" fillId="0" borderId="0" xfId="0" applyNumberFormat="1"/>
    <xf numFmtId="0" fontId="0" fillId="4" borderId="0" xfId="0" applyFill="1"/>
    <xf numFmtId="0" fontId="0" fillId="4" borderId="0" xfId="0" applyFill="1" applyAlignment="1">
      <alignment horizontal="center"/>
    </xf>
    <xf numFmtId="0" fontId="0" fillId="5" borderId="0" xfId="0" applyFill="1"/>
    <xf numFmtId="0" fontId="0" fillId="5" borderId="0" xfId="0" applyFill="1" applyAlignment="1">
      <alignment horizontal="center"/>
    </xf>
    <xf numFmtId="9" fontId="0" fillId="5" borderId="0" xfId="1" applyFont="1" applyFill="1" applyAlignment="1">
      <alignment horizontal="center"/>
    </xf>
  </cellXfs>
  <cellStyles count="2">
    <cellStyle name="Normal" xfId="0" builtinId="0"/>
    <cellStyle name="Percent" xfId="1" builtinId="5"/>
  </cellStyles>
  <dxfs count="300">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font>
        <b/>
        <color theme="1"/>
      </font>
      <border>
        <bottom style="thin">
          <color theme="4"/>
        </bottom>
        <vertical/>
        <horizontal/>
      </border>
    </dxf>
    <dxf>
      <font>
        <sz val="10"/>
        <color theme="1"/>
      </font>
      <fill>
        <patternFill>
          <bgColor theme="0"/>
        </patternFill>
      </fill>
      <border diagonalUp="0" diagonalDown="0">
        <left/>
        <right/>
        <top/>
        <bottom/>
        <vertical/>
        <horizontal/>
      </border>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2" formatCode="0.00"/>
    </dxf>
    <dxf>
      <numFmt numFmtId="1" formatCode="0"/>
    </dxf>
    <dxf>
      <numFmt numFmtId="1" formatCode="0"/>
    </dxf>
    <dxf>
      <numFmt numFmtId="2" formatCode="0.00"/>
    </dxf>
    <dxf>
      <numFmt numFmtId="1" formatCode="0"/>
    </dxf>
    <dxf>
      <numFmt numFmtId="14" formatCode="0.00%"/>
    </dxf>
    <dxf>
      <numFmt numFmtId="2" formatCode="0.00"/>
    </dxf>
    <dxf>
      <numFmt numFmtId="2" formatCode="0.00"/>
    </dxf>
    <dxf>
      <numFmt numFmtId="2" formatCode="0.00"/>
    </dxf>
    <dxf>
      <numFmt numFmtId="2" formatCode="0.00"/>
    </dxf>
  </dxfs>
  <tableStyles count="1" defaultTableStyle="TableStyleMedium2" defaultPivotStyle="PivotStyleLight16">
    <tableStyle name="MY_Style" pivot="0" table="0" count="10" xr9:uid="{7B1BD283-C5AB-401B-BE0E-3B74D4C5BC1E}">
      <tableStyleElement type="wholeTable" dxfId="113"/>
      <tableStyleElement type="headerRow" dxfId="112"/>
    </tableStyle>
  </tableStyle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_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Dashboard.xlsx]PIVOT_REPORT!PivotTable9</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FD2EC4E-D1E3-4304-B8DA-DA60A4FF6D7C}" type="CELLRANGE">
                  <a:rPr lang="en-US" sz="800"/>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7552457582146495"/>
                  <c:h val="0.29428557560417001"/>
                </c:manualLayout>
              </c15:layout>
              <c15:dlblFieldTable/>
              <c15:showDataLabelsRange val="1"/>
            </c:ext>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BC6817A-62D3-4CFC-A247-674EB872C4ED}" type="CELLRANGE">
                  <a:rPr lang="en-US" sz="800"/>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layout>
                <c:manualLayout>
                  <c:w val="0.27552457582146495"/>
                  <c:h val="0.29428557560417001"/>
                </c:manualLayout>
              </c15:layout>
              <c15:dlblFieldTable/>
              <c15:xForSave val="1"/>
              <c15:showDataLabelsRange val="1"/>
            </c:ext>
          </c:extLst>
        </c:dLbl>
      </c:pivotFmt>
    </c:pivotFmts>
    <c:plotArea>
      <c:layout>
        <c:manualLayout>
          <c:layoutTarget val="inner"/>
          <c:xMode val="edge"/>
          <c:yMode val="edge"/>
          <c:x val="0.10018214936247723"/>
          <c:y val="0.3652974603556976"/>
          <c:w val="0.76320582877959908"/>
          <c:h val="0.38356053564976028"/>
        </c:manualLayout>
      </c:layout>
      <c:barChart>
        <c:barDir val="bar"/>
        <c:grouping val="clustered"/>
        <c:varyColors val="0"/>
        <c:ser>
          <c:idx val="0"/>
          <c:order val="0"/>
          <c:tx>
            <c:strRef>
              <c:f>PIVOT_REPORT!$B$21</c:f>
              <c:strCache>
                <c:ptCount val="1"/>
                <c:pt idx="0">
                  <c:v>Count of Patient Admission Flag</c:v>
                </c:pt>
              </c:strCache>
            </c:strRef>
          </c:tx>
          <c:spPr>
            <a:solidFill>
              <a:schemeClr val="accent1"/>
            </a:solidFill>
            <a:ln>
              <a:noFill/>
            </a:ln>
            <a:effectLst/>
          </c:spPr>
          <c:invertIfNegative val="0"/>
          <c:dLbls>
            <c:dLbl>
              <c:idx val="0"/>
              <c:tx>
                <c:rich>
                  <a:bodyPr/>
                  <a:lstStyle/>
                  <a:p>
                    <a:fld id="{1FD2EC4E-D1E3-4304-B8DA-DA60A4FF6D7C}" type="CELLRANGE">
                      <a:rPr lang="en-US" sz="800"/>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27552457582146495"/>
                      <c:h val="0.29428557560417001"/>
                    </c:manualLayout>
                  </c15:layout>
                  <c15:dlblFieldTable/>
                  <c15:showDataLabelsRange val="1"/>
                </c:ext>
                <c:ext xmlns:c16="http://schemas.microsoft.com/office/drawing/2014/chart" uri="{C3380CC4-5D6E-409C-BE32-E72D297353CC}">
                  <c16:uniqueId val="{00000005-D8B6-4990-A924-D329DAF219D7}"/>
                </c:ext>
              </c:extLst>
            </c:dLbl>
            <c:dLbl>
              <c:idx val="1"/>
              <c:tx>
                <c:rich>
                  <a:bodyPr/>
                  <a:lstStyle/>
                  <a:p>
                    <a:fld id="{4BC6817A-62D3-4CFC-A247-674EB872C4ED}" type="CELLRANGE">
                      <a:rPr lang="en-US" sz="800"/>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layout>
                    <c:manualLayout>
                      <c:w val="0.27552457582146495"/>
                      <c:h val="0.29428557560417001"/>
                    </c:manualLayout>
                  </c15:layout>
                  <c15:dlblFieldTable/>
                  <c15:xForSave val="1"/>
                  <c15:showDataLabelsRange val="1"/>
                </c:ext>
                <c:ext xmlns:c16="http://schemas.microsoft.com/office/drawing/2014/chart" uri="{C3380CC4-5D6E-409C-BE32-E72D297353CC}">
                  <c16:uniqueId val="{00000006-D8B6-4990-A924-D329DAF219D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PIVOT_REPORT!$A$22:$A$24</c:f>
              <c:strCache>
                <c:ptCount val="2"/>
                <c:pt idx="0">
                  <c:v>Admitted</c:v>
                </c:pt>
                <c:pt idx="1">
                  <c:v>Not admitted</c:v>
                </c:pt>
              </c:strCache>
            </c:strRef>
          </c:cat>
          <c:val>
            <c:numRef>
              <c:f>PIVOT_REPORT!$B$22:$B$24</c:f>
              <c:numCache>
                <c:formatCode>0</c:formatCode>
                <c:ptCount val="2"/>
                <c:pt idx="0">
                  <c:v>64</c:v>
                </c:pt>
                <c:pt idx="1">
                  <c:v>65</c:v>
                </c:pt>
              </c:numCache>
            </c:numRef>
          </c:val>
          <c:extLst>
            <c:ext xmlns:c15="http://schemas.microsoft.com/office/drawing/2012/chart" uri="{02D57815-91ED-43cb-92C2-25804820EDAC}">
              <c15:datalabelsRange>
                <c15:f>PIVOT_REPORT!$C$22:$C$23</c15:f>
                <c15:dlblRangeCache>
                  <c:ptCount val="2"/>
                  <c:pt idx="0">
                    <c:v>49.61%</c:v>
                  </c:pt>
                  <c:pt idx="1">
                    <c:v>50.39%</c:v>
                  </c:pt>
                </c15:dlblRangeCache>
              </c15:datalabelsRange>
            </c:ext>
            <c:ext xmlns:c16="http://schemas.microsoft.com/office/drawing/2014/chart" uri="{C3380CC4-5D6E-409C-BE32-E72D297353CC}">
              <c16:uniqueId val="{00000000-D8B6-4990-A924-D329DAF219D7}"/>
            </c:ext>
          </c:extLst>
        </c:ser>
        <c:ser>
          <c:idx val="1"/>
          <c:order val="1"/>
          <c:tx>
            <c:strRef>
              <c:f>PIVOT_REPORT!$C$21</c:f>
              <c:strCache>
                <c:ptCount val="1"/>
                <c:pt idx="0">
                  <c:v>Count of Patient Admission Flag2</c:v>
                </c:pt>
              </c:strCache>
            </c:strRef>
          </c:tx>
          <c:spPr>
            <a:solidFill>
              <a:schemeClr val="accent2"/>
            </a:solidFill>
            <a:ln>
              <a:noFill/>
            </a:ln>
            <a:effectLst/>
          </c:spPr>
          <c:invertIfNegative val="0"/>
          <c:dLbls>
            <c:delete val="1"/>
          </c:dLbls>
          <c:cat>
            <c:strRef>
              <c:f>PIVOT_REPORT!$A$22:$A$24</c:f>
              <c:strCache>
                <c:ptCount val="2"/>
                <c:pt idx="0">
                  <c:v>Admitted</c:v>
                </c:pt>
                <c:pt idx="1">
                  <c:v>Not admitted</c:v>
                </c:pt>
              </c:strCache>
            </c:strRef>
          </c:cat>
          <c:val>
            <c:numRef>
              <c:f>PIVOT_REPORT!$C$22:$C$24</c:f>
              <c:numCache>
                <c:formatCode>0.00%</c:formatCode>
                <c:ptCount val="2"/>
                <c:pt idx="0">
                  <c:v>0.49612403100775193</c:v>
                </c:pt>
                <c:pt idx="1">
                  <c:v>0.50387596899224807</c:v>
                </c:pt>
              </c:numCache>
            </c:numRef>
          </c:val>
          <c:extLst>
            <c:ext xmlns:c16="http://schemas.microsoft.com/office/drawing/2014/chart" uri="{C3380CC4-5D6E-409C-BE32-E72D297353CC}">
              <c16:uniqueId val="{00000001-D8B6-4990-A924-D329DAF219D7}"/>
            </c:ext>
          </c:extLst>
        </c:ser>
        <c:dLbls>
          <c:dLblPos val="outEnd"/>
          <c:showLegendKey val="0"/>
          <c:showVal val="1"/>
          <c:showCatName val="0"/>
          <c:showSerName val="0"/>
          <c:showPercent val="0"/>
          <c:showBubbleSize val="0"/>
        </c:dLbls>
        <c:gapWidth val="182"/>
        <c:axId val="1523342079"/>
        <c:axId val="1523346239"/>
      </c:barChart>
      <c:catAx>
        <c:axId val="1523342079"/>
        <c:scaling>
          <c:orientation val="minMax"/>
        </c:scaling>
        <c:delete val="1"/>
        <c:axPos val="l"/>
        <c:numFmt formatCode="General" sourceLinked="1"/>
        <c:majorTickMark val="none"/>
        <c:minorTickMark val="none"/>
        <c:tickLblPos val="nextTo"/>
        <c:crossAx val="1523346239"/>
        <c:crosses val="autoZero"/>
        <c:auto val="1"/>
        <c:lblAlgn val="ctr"/>
        <c:lblOffset val="100"/>
        <c:noMultiLvlLbl val="0"/>
      </c:catAx>
      <c:valAx>
        <c:axId val="1523346239"/>
        <c:scaling>
          <c:orientation val="minMax"/>
        </c:scaling>
        <c:delete val="1"/>
        <c:axPos val="b"/>
        <c:numFmt formatCode="0" sourceLinked="1"/>
        <c:majorTickMark val="none"/>
        <c:minorTickMark val="none"/>
        <c:tickLblPos val="nextTo"/>
        <c:crossAx val="1523342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Dashboard.xlsx]PIVOT_REPORT!PivotTable5</c:name>
    <c:fmtId val="22"/>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9593432079610759E-2"/>
          <c:y val="0"/>
          <c:w val="0.88580020288874939"/>
          <c:h val="0.72088764946048411"/>
        </c:manualLayout>
      </c:layout>
      <c:areaChart>
        <c:grouping val="standard"/>
        <c:varyColors val="0"/>
        <c:ser>
          <c:idx val="0"/>
          <c:order val="0"/>
          <c:tx>
            <c:strRef>
              <c:f>PIVOT_REPORT!$E$4</c:f>
              <c:strCache>
                <c:ptCount val="1"/>
                <c:pt idx="0">
                  <c:v>Total</c:v>
                </c:pt>
              </c:strCache>
            </c:strRef>
          </c:tx>
          <c:spPr>
            <a:solidFill>
              <a:schemeClr val="accent1"/>
            </a:solidFill>
            <a:ln>
              <a:noFill/>
            </a:ln>
            <a:effectLst/>
          </c:spPr>
          <c:cat>
            <c:strRef>
              <c:f>PIVOT_REPORT!$D$5:$D$14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PIVOT_REPORT!$E$5:$E$14</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0-BC5D-4F67-8A42-60F3C5B03F16}"/>
            </c:ext>
          </c:extLst>
        </c:ser>
        <c:dLbls>
          <c:showLegendKey val="0"/>
          <c:showVal val="0"/>
          <c:showCatName val="0"/>
          <c:showSerName val="0"/>
          <c:showPercent val="0"/>
          <c:showBubbleSize val="0"/>
        </c:dLbls>
        <c:axId val="1245552191"/>
        <c:axId val="1245544703"/>
      </c:areaChart>
      <c:catAx>
        <c:axId val="1245552191"/>
        <c:scaling>
          <c:orientation val="minMax"/>
        </c:scaling>
        <c:delete val="1"/>
        <c:axPos val="b"/>
        <c:numFmt formatCode="General" sourceLinked="1"/>
        <c:majorTickMark val="out"/>
        <c:minorTickMark val="none"/>
        <c:tickLblPos val="nextTo"/>
        <c:crossAx val="1245544703"/>
        <c:crosses val="autoZero"/>
        <c:auto val="1"/>
        <c:lblAlgn val="ctr"/>
        <c:lblOffset val="100"/>
        <c:noMultiLvlLbl val="0"/>
      </c:catAx>
      <c:valAx>
        <c:axId val="1245544703"/>
        <c:scaling>
          <c:orientation val="minMax"/>
        </c:scaling>
        <c:delete val="1"/>
        <c:axPos val="l"/>
        <c:numFmt formatCode="General" sourceLinked="1"/>
        <c:majorTickMark val="none"/>
        <c:minorTickMark val="none"/>
        <c:tickLblPos val="nextTo"/>
        <c:crossAx val="1245552191"/>
        <c:crosses val="autoZero"/>
        <c:crossBetween val="midCat"/>
      </c:valAx>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Dashboard.xlsx]PIVOT_REPORT!PivotTable7</c:name>
    <c:fmtId val="2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4592933947772657E-2"/>
          <c:y val="7.407407407407407E-2"/>
          <c:w val="0.88033794162826418"/>
          <c:h val="0.8416746864975212"/>
        </c:manualLayout>
      </c:layout>
      <c:areaChart>
        <c:grouping val="standard"/>
        <c:varyColors val="0"/>
        <c:ser>
          <c:idx val="0"/>
          <c:order val="0"/>
          <c:tx>
            <c:strRef>
              <c:f>PIVOT_REPORT!$I$4</c:f>
              <c:strCache>
                <c:ptCount val="1"/>
                <c:pt idx="0">
                  <c:v>Total</c:v>
                </c:pt>
              </c:strCache>
            </c:strRef>
          </c:tx>
          <c:spPr>
            <a:solidFill>
              <a:schemeClr val="accent1"/>
            </a:solidFill>
            <a:ln>
              <a:noFill/>
            </a:ln>
            <a:effectLst/>
          </c:spPr>
          <c:cat>
            <c:strRef>
              <c:f>PIVOT_REPORT!$H$5:$H$14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PIVOT_REPORT!$I$5:$I$14</c:f>
              <c:numCache>
                <c:formatCode>0.00</c:formatCode>
                <c:ptCount val="9"/>
                <c:pt idx="0">
                  <c:v>29.46153846153846</c:v>
                </c:pt>
                <c:pt idx="1">
                  <c:v>34.25</c:v>
                </c:pt>
                <c:pt idx="2">
                  <c:v>34.941176470588232</c:v>
                </c:pt>
                <c:pt idx="3">
                  <c:v>32.444444444444443</c:v>
                </c:pt>
                <c:pt idx="4">
                  <c:v>38.533333333333331</c:v>
                </c:pt>
                <c:pt idx="5">
                  <c:v>34.777777777777779</c:v>
                </c:pt>
                <c:pt idx="6">
                  <c:v>33.357142857142854</c:v>
                </c:pt>
                <c:pt idx="7">
                  <c:v>28.916666666666668</c:v>
                </c:pt>
                <c:pt idx="8">
                  <c:v>35.4</c:v>
                </c:pt>
              </c:numCache>
            </c:numRef>
          </c:val>
          <c:extLst>
            <c:ext xmlns:c16="http://schemas.microsoft.com/office/drawing/2014/chart" uri="{C3380CC4-5D6E-409C-BE32-E72D297353CC}">
              <c16:uniqueId val="{00000007-A678-4E99-82CE-075DB55C5855}"/>
            </c:ext>
          </c:extLst>
        </c:ser>
        <c:dLbls>
          <c:showLegendKey val="0"/>
          <c:showVal val="0"/>
          <c:showCatName val="0"/>
          <c:showSerName val="0"/>
          <c:showPercent val="0"/>
          <c:showBubbleSize val="0"/>
        </c:dLbls>
        <c:axId val="1514973695"/>
        <c:axId val="1514966623"/>
      </c:areaChart>
      <c:catAx>
        <c:axId val="1514973695"/>
        <c:scaling>
          <c:orientation val="minMax"/>
        </c:scaling>
        <c:delete val="1"/>
        <c:axPos val="b"/>
        <c:numFmt formatCode="General" sourceLinked="1"/>
        <c:majorTickMark val="out"/>
        <c:minorTickMark val="none"/>
        <c:tickLblPos val="nextTo"/>
        <c:crossAx val="1514966623"/>
        <c:crosses val="autoZero"/>
        <c:auto val="1"/>
        <c:lblAlgn val="ctr"/>
        <c:lblOffset val="100"/>
        <c:noMultiLvlLbl val="0"/>
      </c:catAx>
      <c:valAx>
        <c:axId val="1514966623"/>
        <c:scaling>
          <c:orientation val="minMax"/>
        </c:scaling>
        <c:delete val="1"/>
        <c:axPos val="l"/>
        <c:numFmt formatCode="0.00" sourceLinked="1"/>
        <c:majorTickMark val="none"/>
        <c:minorTickMark val="none"/>
        <c:tickLblPos val="nextTo"/>
        <c:crossAx val="1514973695"/>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Dashboard.xlsx]PIVOT_REPORT!PivotTable8</c:name>
    <c:fmtId val="4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052473279982813"/>
          <c:y val="0.20225318542131435"/>
          <c:w val="0.7793209340237518"/>
          <c:h val="0.62920249339425705"/>
        </c:manualLayout>
      </c:layout>
      <c:areaChart>
        <c:grouping val="standard"/>
        <c:varyColors val="0"/>
        <c:ser>
          <c:idx val="0"/>
          <c:order val="0"/>
          <c:tx>
            <c:strRef>
              <c:f>PIVOT_REPORT!$M$4</c:f>
              <c:strCache>
                <c:ptCount val="1"/>
                <c:pt idx="0">
                  <c:v>Total</c:v>
                </c:pt>
              </c:strCache>
            </c:strRef>
          </c:tx>
          <c:spPr>
            <a:solidFill>
              <a:schemeClr val="accent1"/>
            </a:solidFill>
            <a:ln>
              <a:noFill/>
            </a:ln>
            <a:effectLst/>
          </c:spPr>
          <c:cat>
            <c:strRef>
              <c:f>PIVOT_REPORT!$L$5:$L$14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PIVOT_REPORT!$M$5:$M$14</c:f>
              <c:numCache>
                <c:formatCode>0.00</c:formatCode>
                <c:ptCount val="9"/>
                <c:pt idx="0">
                  <c:v>7.75</c:v>
                </c:pt>
                <c:pt idx="1">
                  <c:v>3.3333333333333335</c:v>
                </c:pt>
                <c:pt idx="2">
                  <c:v>5.333333333333333</c:v>
                </c:pt>
                <c:pt idx="3">
                  <c:v>6.5</c:v>
                </c:pt>
                <c:pt idx="4">
                  <c:v>4</c:v>
                </c:pt>
                <c:pt idx="5">
                  <c:v>5.8</c:v>
                </c:pt>
                <c:pt idx="6">
                  <c:v>3.8</c:v>
                </c:pt>
                <c:pt idx="7">
                  <c:v>4.666666666666667</c:v>
                </c:pt>
                <c:pt idx="8">
                  <c:v>4.4000000000000004</c:v>
                </c:pt>
              </c:numCache>
            </c:numRef>
          </c:val>
          <c:extLst>
            <c:ext xmlns:c16="http://schemas.microsoft.com/office/drawing/2014/chart" uri="{C3380CC4-5D6E-409C-BE32-E72D297353CC}">
              <c16:uniqueId val="{00000003-1158-4519-9F9A-93FAAA0A7A8D}"/>
            </c:ext>
          </c:extLst>
        </c:ser>
        <c:dLbls>
          <c:showLegendKey val="0"/>
          <c:showVal val="0"/>
          <c:showCatName val="0"/>
          <c:showSerName val="0"/>
          <c:showPercent val="0"/>
          <c:showBubbleSize val="0"/>
        </c:dLbls>
        <c:axId val="1636199503"/>
        <c:axId val="1636197839"/>
      </c:areaChart>
      <c:catAx>
        <c:axId val="1636199503"/>
        <c:scaling>
          <c:orientation val="minMax"/>
        </c:scaling>
        <c:delete val="1"/>
        <c:axPos val="b"/>
        <c:numFmt formatCode="General" sourceLinked="1"/>
        <c:majorTickMark val="out"/>
        <c:minorTickMark val="none"/>
        <c:tickLblPos val="nextTo"/>
        <c:crossAx val="1636197839"/>
        <c:crosses val="autoZero"/>
        <c:auto val="1"/>
        <c:lblAlgn val="ctr"/>
        <c:lblOffset val="100"/>
        <c:noMultiLvlLbl val="0"/>
      </c:catAx>
      <c:valAx>
        <c:axId val="1636197839"/>
        <c:scaling>
          <c:orientation val="minMax"/>
        </c:scaling>
        <c:delete val="1"/>
        <c:axPos val="l"/>
        <c:numFmt formatCode="0.00" sourceLinked="1"/>
        <c:majorTickMark val="none"/>
        <c:minorTickMark val="none"/>
        <c:tickLblPos val="nextTo"/>
        <c:crossAx val="1636199503"/>
        <c:crosses val="autoZero"/>
        <c:crossBetween val="midCat"/>
      </c:valAx>
      <c:spPr>
        <a:noFill/>
        <a:ln w="25400">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14959214974E-2"/>
          <c:y val="8.7837856135096412E-2"/>
          <c:w val="0.91940450737277757"/>
          <c:h val="0.75569558894813382"/>
        </c:manualLayout>
      </c:layout>
      <c:barChart>
        <c:barDir val="col"/>
        <c:grouping val="clustered"/>
        <c:varyColors val="0"/>
        <c:ser>
          <c:idx val="0"/>
          <c:order val="0"/>
          <c:tx>
            <c:strRef>
              <c:f>PIVOT_REPORT!$B$35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PIVOT_REPORT!$A$36:$A$44</c:f>
              <c:strCache>
                <c:ptCount val="8"/>
                <c:pt idx="0">
                  <c:v>0-9</c:v>
                </c:pt>
                <c:pt idx="1">
                  <c:v>10-19</c:v>
                </c:pt>
                <c:pt idx="2">
                  <c:v>20-29</c:v>
                </c:pt>
                <c:pt idx="3">
                  <c:v>30-39</c:v>
                </c:pt>
                <c:pt idx="4">
                  <c:v>40-49</c:v>
                </c:pt>
                <c:pt idx="5">
                  <c:v>50-59</c:v>
                </c:pt>
                <c:pt idx="6">
                  <c:v>60-69</c:v>
                </c:pt>
                <c:pt idx="7">
                  <c:v>70-79</c:v>
                </c:pt>
              </c:strCache>
            </c:strRef>
          </c:cat>
          <c:val>
            <c:numRef>
              <c:f>PIVOT_REPORT!$B$36:$B$44</c:f>
              <c:numCache>
                <c:formatCode>0</c:formatCode>
                <c:ptCount val="8"/>
                <c:pt idx="0">
                  <c:v>13</c:v>
                </c:pt>
                <c:pt idx="1">
                  <c:v>16</c:v>
                </c:pt>
                <c:pt idx="2">
                  <c:v>20</c:v>
                </c:pt>
                <c:pt idx="3">
                  <c:v>14</c:v>
                </c:pt>
                <c:pt idx="4">
                  <c:v>20</c:v>
                </c:pt>
                <c:pt idx="5">
                  <c:v>16</c:v>
                </c:pt>
                <c:pt idx="6">
                  <c:v>15</c:v>
                </c:pt>
                <c:pt idx="7">
                  <c:v>15</c:v>
                </c:pt>
              </c:numCache>
            </c:numRef>
          </c:val>
          <c:extLst>
            <c:ext xmlns:c16="http://schemas.microsoft.com/office/drawing/2014/chart" uri="{C3380CC4-5D6E-409C-BE32-E72D297353CC}">
              <c16:uniqueId val="{00000000-4892-4254-BC4E-687323AD8FB3}"/>
            </c:ext>
          </c:extLst>
        </c:ser>
        <c:dLbls>
          <c:showLegendKey val="0"/>
          <c:showVal val="0"/>
          <c:showCatName val="0"/>
          <c:showSerName val="0"/>
          <c:showPercent val="0"/>
          <c:showBubbleSize val="0"/>
        </c:dLbls>
        <c:gapWidth val="219"/>
        <c:overlap val="-27"/>
        <c:axId val="1523344159"/>
        <c:axId val="1523338751"/>
      </c:barChart>
      <c:catAx>
        <c:axId val="1523344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3338751"/>
        <c:crosses val="autoZero"/>
        <c:auto val="1"/>
        <c:lblAlgn val="ctr"/>
        <c:lblOffset val="100"/>
        <c:noMultiLvlLbl val="0"/>
      </c:catAx>
      <c:valAx>
        <c:axId val="1523338751"/>
        <c:scaling>
          <c:orientation val="minMax"/>
        </c:scaling>
        <c:delete val="1"/>
        <c:axPos val="l"/>
        <c:numFmt formatCode="0" sourceLinked="1"/>
        <c:majorTickMark val="none"/>
        <c:minorTickMark val="none"/>
        <c:tickLblPos val="nextTo"/>
        <c:crossAx val="1523344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Dashboard.xlsx]PIVOT_REPORT!PivotTable11</c:name>
    <c:fmtId val="9"/>
  </c:pivotSource>
  <c:chart>
    <c:autoTitleDeleted val="1"/>
    <c:pivotFmts>
      <c:pivotFmt>
        <c:idx val="0"/>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pieChart>
        <c:varyColors val="1"/>
        <c:ser>
          <c:idx val="0"/>
          <c:order val="0"/>
          <c:tx>
            <c:strRef>
              <c:f>PIVOT_REPORT!$B$50</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8024-4B99-B12A-4FC878CF3441}"/>
              </c:ext>
            </c:extLst>
          </c:dPt>
          <c:dPt>
            <c:idx val="1"/>
            <c:bubble3D val="0"/>
            <c:spPr>
              <a:solidFill>
                <a:schemeClr val="accent2"/>
              </a:solidFill>
              <a:ln>
                <a:noFill/>
              </a:ln>
              <a:effectLst/>
            </c:spPr>
            <c:extLst>
              <c:ext xmlns:c16="http://schemas.microsoft.com/office/drawing/2014/chart" uri="{C3380CC4-5D6E-409C-BE32-E72D297353CC}">
                <c16:uniqueId val="{00000003-8024-4B99-B12A-4FC878CF3441}"/>
              </c:ext>
            </c:extLst>
          </c:dPt>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PIVOT_REPORT!$A$51:$A$53</c:f>
              <c:strCache>
                <c:ptCount val="2"/>
                <c:pt idx="0">
                  <c:v>Delay</c:v>
                </c:pt>
                <c:pt idx="1">
                  <c:v>Ontime</c:v>
                </c:pt>
              </c:strCache>
            </c:strRef>
          </c:cat>
          <c:val>
            <c:numRef>
              <c:f>PIVOT_REPORT!$B$51:$B$53</c:f>
              <c:numCache>
                <c:formatCode>0</c:formatCode>
                <c:ptCount val="2"/>
                <c:pt idx="0">
                  <c:v>74</c:v>
                </c:pt>
                <c:pt idx="1">
                  <c:v>55</c:v>
                </c:pt>
              </c:numCache>
            </c:numRef>
          </c:val>
          <c:extLst>
            <c:ext xmlns:c16="http://schemas.microsoft.com/office/drawing/2014/chart" uri="{C3380CC4-5D6E-409C-BE32-E72D297353CC}">
              <c16:uniqueId val="{00000004-8024-4B99-B12A-4FC878CF3441}"/>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Dashboard.xlsx]PIVOT_REPORT!PivotTable12</c:name>
    <c:fmtId val="12"/>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doughnutChart>
        <c:varyColors val="1"/>
        <c:ser>
          <c:idx val="0"/>
          <c:order val="0"/>
          <c:tx>
            <c:strRef>
              <c:f>PIVOT_REPORT!$B$57</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51A4-46D2-8EE3-E857A1DD0EAC}"/>
              </c:ext>
            </c:extLst>
          </c:dPt>
          <c:dPt>
            <c:idx val="1"/>
            <c:bubble3D val="0"/>
            <c:spPr>
              <a:solidFill>
                <a:schemeClr val="accent2"/>
              </a:solidFill>
              <a:ln>
                <a:noFill/>
              </a:ln>
              <a:effectLst/>
            </c:spPr>
            <c:extLst>
              <c:ext xmlns:c16="http://schemas.microsoft.com/office/drawing/2014/chart" uri="{C3380CC4-5D6E-409C-BE32-E72D297353CC}">
                <c16:uniqueId val="{00000003-51A4-46D2-8EE3-E857A1DD0EAC}"/>
              </c:ext>
            </c:extLst>
          </c:dPt>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PIVOT_REPORT!$A$58:$A$60</c:f>
              <c:strCache>
                <c:ptCount val="2"/>
                <c:pt idx="0">
                  <c:v>Female</c:v>
                </c:pt>
                <c:pt idx="1">
                  <c:v>Male</c:v>
                </c:pt>
              </c:strCache>
            </c:strRef>
          </c:cat>
          <c:val>
            <c:numRef>
              <c:f>PIVOT_REPORT!$B$58:$B$60</c:f>
              <c:numCache>
                <c:formatCode>0</c:formatCode>
                <c:ptCount val="2"/>
                <c:pt idx="0">
                  <c:v>59</c:v>
                </c:pt>
                <c:pt idx="1">
                  <c:v>70</c:v>
                </c:pt>
              </c:numCache>
            </c:numRef>
          </c:val>
          <c:extLst>
            <c:ext xmlns:c16="http://schemas.microsoft.com/office/drawing/2014/chart" uri="{C3380CC4-5D6E-409C-BE32-E72D297353CC}">
              <c16:uniqueId val="{00000004-51A4-46D2-8EE3-E857A1DD0EAC}"/>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Dashboard.xlsx]PIVOT_REPORT!PivotTable13</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PIVOT_REPORT!$B$65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PIVOT_REPORT!$A$66:$A$74</c:f>
              <c:strCache>
                <c:ptCount val="8"/>
                <c:pt idx="0">
                  <c:v>Renal</c:v>
                </c:pt>
                <c:pt idx="1">
                  <c:v>Cardiology</c:v>
                </c:pt>
                <c:pt idx="2">
                  <c:v>Neurology</c:v>
                </c:pt>
                <c:pt idx="3">
                  <c:v>Physiotherapy</c:v>
                </c:pt>
                <c:pt idx="4">
                  <c:v>Gastroenterology</c:v>
                </c:pt>
                <c:pt idx="5">
                  <c:v>Orthopedics</c:v>
                </c:pt>
                <c:pt idx="6">
                  <c:v>General Practice</c:v>
                </c:pt>
                <c:pt idx="7">
                  <c:v>None</c:v>
                </c:pt>
              </c:strCache>
            </c:strRef>
          </c:cat>
          <c:val>
            <c:numRef>
              <c:f>PIVOT_REPORT!$B$66:$B$74</c:f>
              <c:numCache>
                <c:formatCode>0.00</c:formatCode>
                <c:ptCount val="8"/>
                <c:pt idx="0">
                  <c:v>2</c:v>
                </c:pt>
                <c:pt idx="1">
                  <c:v>2</c:v>
                </c:pt>
                <c:pt idx="2">
                  <c:v>3</c:v>
                </c:pt>
                <c:pt idx="3">
                  <c:v>5</c:v>
                </c:pt>
                <c:pt idx="4">
                  <c:v>6</c:v>
                </c:pt>
                <c:pt idx="5">
                  <c:v>11</c:v>
                </c:pt>
                <c:pt idx="6">
                  <c:v>27</c:v>
                </c:pt>
                <c:pt idx="7">
                  <c:v>73</c:v>
                </c:pt>
              </c:numCache>
            </c:numRef>
          </c:val>
          <c:extLst>
            <c:ext xmlns:c16="http://schemas.microsoft.com/office/drawing/2014/chart" uri="{C3380CC4-5D6E-409C-BE32-E72D297353CC}">
              <c16:uniqueId val="{00000000-F199-45E5-B695-4EA4C987FA84}"/>
            </c:ext>
          </c:extLst>
        </c:ser>
        <c:dLbls>
          <c:dLblPos val="outEnd"/>
          <c:showLegendKey val="0"/>
          <c:showVal val="1"/>
          <c:showCatName val="0"/>
          <c:showSerName val="0"/>
          <c:showPercent val="0"/>
          <c:showBubbleSize val="0"/>
        </c:dLbls>
        <c:gapWidth val="182"/>
        <c:axId val="1363974943"/>
        <c:axId val="1363982847"/>
      </c:barChart>
      <c:catAx>
        <c:axId val="13639749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982847"/>
        <c:crosses val="autoZero"/>
        <c:auto val="1"/>
        <c:lblAlgn val="ctr"/>
        <c:lblOffset val="100"/>
        <c:noMultiLvlLbl val="0"/>
      </c:catAx>
      <c:valAx>
        <c:axId val="1363982847"/>
        <c:scaling>
          <c:orientation val="minMax"/>
        </c:scaling>
        <c:delete val="1"/>
        <c:axPos val="b"/>
        <c:numFmt formatCode="0.00" sourceLinked="1"/>
        <c:majorTickMark val="none"/>
        <c:minorTickMark val="none"/>
        <c:tickLblPos val="nextTo"/>
        <c:crossAx val="13639749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Dashboard.xlsx]PIVOT_REPORT!PivotTable5</c:name>
    <c:fmtId val="24"/>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s>
    <c:plotArea>
      <c:layout>
        <c:manualLayout>
          <c:layoutTarget val="inner"/>
          <c:xMode val="edge"/>
          <c:yMode val="edge"/>
          <c:x val="5.527385838515151E-2"/>
          <c:y val="6.0236519410016807E-2"/>
          <c:w val="0.89250764795340176"/>
          <c:h val="0.84237589606538366"/>
        </c:manualLayout>
      </c:layout>
      <c:areaChart>
        <c:grouping val="standard"/>
        <c:varyColors val="0"/>
        <c:ser>
          <c:idx val="0"/>
          <c:order val="0"/>
          <c:tx>
            <c:strRef>
              <c:f>PIVOT_REPORT!$E$4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PIVOT_REPORT!$D$5:$D$14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PIVOT_REPORT!$E$5:$E$14</c:f>
              <c:numCache>
                <c:formatCode>General</c:formatCode>
                <c:ptCount val="9"/>
                <c:pt idx="0">
                  <c:v>13</c:v>
                </c:pt>
                <c:pt idx="1">
                  <c:v>16</c:v>
                </c:pt>
                <c:pt idx="2">
                  <c:v>17</c:v>
                </c:pt>
                <c:pt idx="3">
                  <c:v>9</c:v>
                </c:pt>
                <c:pt idx="4">
                  <c:v>15</c:v>
                </c:pt>
                <c:pt idx="5">
                  <c:v>18</c:v>
                </c:pt>
                <c:pt idx="6">
                  <c:v>14</c:v>
                </c:pt>
                <c:pt idx="7">
                  <c:v>12</c:v>
                </c:pt>
                <c:pt idx="8">
                  <c:v>15</c:v>
                </c:pt>
              </c:numCache>
            </c:numRef>
          </c:val>
          <c:extLst>
            <c:ext xmlns:c16="http://schemas.microsoft.com/office/drawing/2014/chart" uri="{C3380CC4-5D6E-409C-BE32-E72D297353CC}">
              <c16:uniqueId val="{00000000-FBC4-4079-8F5F-D40A68A56C8A}"/>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245552191"/>
        <c:axId val="1245544703"/>
      </c:areaChart>
      <c:catAx>
        <c:axId val="124555219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45544703"/>
        <c:crosses val="autoZero"/>
        <c:auto val="1"/>
        <c:lblAlgn val="ctr"/>
        <c:lblOffset val="100"/>
        <c:noMultiLvlLbl val="0"/>
      </c:catAx>
      <c:valAx>
        <c:axId val="1245544703"/>
        <c:scaling>
          <c:orientation val="minMax"/>
        </c:scaling>
        <c:delete val="1"/>
        <c:axPos val="l"/>
        <c:numFmt formatCode="General" sourceLinked="1"/>
        <c:majorTickMark val="out"/>
        <c:minorTickMark val="none"/>
        <c:tickLblPos val="nextTo"/>
        <c:crossAx val="1245552191"/>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Dashboard.xlsx]PIVOT_REPORT!PivotTable7</c:name>
    <c:fmtId val="3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436670790216064E-2"/>
          <c:y val="6.6304168272672201E-2"/>
          <c:w val="0.88033794162826418"/>
          <c:h val="0.8416746864975212"/>
        </c:manualLayout>
      </c:layout>
      <c:areaChart>
        <c:grouping val="standard"/>
        <c:varyColors val="0"/>
        <c:ser>
          <c:idx val="0"/>
          <c:order val="0"/>
          <c:tx>
            <c:strRef>
              <c:f>PIVOT_REPORT!$I$4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PIVOT_REPORT!$H$5:$H$14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PIVOT_REPORT!$I$5:$I$14</c:f>
              <c:numCache>
                <c:formatCode>0.00</c:formatCode>
                <c:ptCount val="9"/>
                <c:pt idx="0">
                  <c:v>29.46153846153846</c:v>
                </c:pt>
                <c:pt idx="1">
                  <c:v>34.25</c:v>
                </c:pt>
                <c:pt idx="2">
                  <c:v>34.941176470588232</c:v>
                </c:pt>
                <c:pt idx="3">
                  <c:v>32.444444444444443</c:v>
                </c:pt>
                <c:pt idx="4">
                  <c:v>38.533333333333331</c:v>
                </c:pt>
                <c:pt idx="5">
                  <c:v>34.777777777777779</c:v>
                </c:pt>
                <c:pt idx="6">
                  <c:v>33.357142857142854</c:v>
                </c:pt>
                <c:pt idx="7">
                  <c:v>28.916666666666668</c:v>
                </c:pt>
                <c:pt idx="8">
                  <c:v>35.4</c:v>
                </c:pt>
              </c:numCache>
            </c:numRef>
          </c:val>
          <c:extLst>
            <c:ext xmlns:c16="http://schemas.microsoft.com/office/drawing/2014/chart" uri="{C3380CC4-5D6E-409C-BE32-E72D297353CC}">
              <c16:uniqueId val="{00000000-701D-4417-B2D4-46030B22F1C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514973695"/>
        <c:axId val="1514966623"/>
      </c:areaChart>
      <c:catAx>
        <c:axId val="1514973695"/>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514966623"/>
        <c:crosses val="autoZero"/>
        <c:auto val="1"/>
        <c:lblAlgn val="ctr"/>
        <c:lblOffset val="100"/>
        <c:noMultiLvlLbl val="0"/>
      </c:catAx>
      <c:valAx>
        <c:axId val="1514966623"/>
        <c:scaling>
          <c:orientation val="minMax"/>
        </c:scaling>
        <c:delete val="1"/>
        <c:axPos val="l"/>
        <c:numFmt formatCode="0.00" sourceLinked="1"/>
        <c:majorTickMark val="out"/>
        <c:minorTickMark val="none"/>
        <c:tickLblPos val="nextTo"/>
        <c:crossAx val="1514973695"/>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Dashboard.xlsx]PIVOT_REPORT!PivotTable8</c:name>
    <c:fmtId val="4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194444444444445E-2"/>
          <c:y val="0"/>
          <c:w val="0.87016666666666664"/>
          <c:h val="0.8416746864975212"/>
        </c:manualLayout>
      </c:layout>
      <c:areaChart>
        <c:grouping val="standard"/>
        <c:varyColors val="0"/>
        <c:ser>
          <c:idx val="0"/>
          <c:order val="0"/>
          <c:tx>
            <c:strRef>
              <c:f>PIVOT_REPORT!$M$4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PIVOT_REPORT!$L$5:$L$14</c:f>
              <c:strCache>
                <c:ptCount val="9"/>
                <c:pt idx="0">
                  <c:v>4-Feb</c:v>
                </c:pt>
                <c:pt idx="1">
                  <c:v>5-Feb</c:v>
                </c:pt>
                <c:pt idx="2">
                  <c:v>6-Feb</c:v>
                </c:pt>
                <c:pt idx="3">
                  <c:v>7-Feb</c:v>
                </c:pt>
                <c:pt idx="4">
                  <c:v>8-Feb</c:v>
                </c:pt>
                <c:pt idx="5">
                  <c:v>9-Feb</c:v>
                </c:pt>
                <c:pt idx="6">
                  <c:v>10-Feb</c:v>
                </c:pt>
                <c:pt idx="7">
                  <c:v>11-Feb</c:v>
                </c:pt>
                <c:pt idx="8">
                  <c:v>12-Feb</c:v>
                </c:pt>
              </c:strCache>
            </c:strRef>
          </c:cat>
          <c:val>
            <c:numRef>
              <c:f>PIVOT_REPORT!$M$5:$M$14</c:f>
              <c:numCache>
                <c:formatCode>0.00</c:formatCode>
                <c:ptCount val="9"/>
                <c:pt idx="0">
                  <c:v>7.75</c:v>
                </c:pt>
                <c:pt idx="1">
                  <c:v>3.3333333333333335</c:v>
                </c:pt>
                <c:pt idx="2">
                  <c:v>5.333333333333333</c:v>
                </c:pt>
                <c:pt idx="3">
                  <c:v>6.5</c:v>
                </c:pt>
                <c:pt idx="4">
                  <c:v>4</c:v>
                </c:pt>
                <c:pt idx="5">
                  <c:v>5.8</c:v>
                </c:pt>
                <c:pt idx="6">
                  <c:v>3.8</c:v>
                </c:pt>
                <c:pt idx="7">
                  <c:v>4.666666666666667</c:v>
                </c:pt>
                <c:pt idx="8">
                  <c:v>4.4000000000000004</c:v>
                </c:pt>
              </c:numCache>
            </c:numRef>
          </c:val>
          <c:extLst>
            <c:ext xmlns:c16="http://schemas.microsoft.com/office/drawing/2014/chart" uri="{C3380CC4-5D6E-409C-BE32-E72D297353CC}">
              <c16:uniqueId val="{00000000-E07C-4B30-9C02-74C2ADB518DB}"/>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636199503"/>
        <c:axId val="1636197839"/>
      </c:areaChart>
      <c:catAx>
        <c:axId val="163619950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36197839"/>
        <c:crosses val="autoZero"/>
        <c:auto val="1"/>
        <c:lblAlgn val="ctr"/>
        <c:lblOffset val="100"/>
        <c:noMultiLvlLbl val="0"/>
      </c:catAx>
      <c:valAx>
        <c:axId val="1636197839"/>
        <c:scaling>
          <c:orientation val="minMax"/>
        </c:scaling>
        <c:delete val="1"/>
        <c:axPos val="l"/>
        <c:numFmt formatCode="0.00" sourceLinked="1"/>
        <c:majorTickMark val="out"/>
        <c:minorTickMark val="none"/>
        <c:tickLblPos val="nextTo"/>
        <c:crossAx val="1636199503"/>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_patient_No_ER '!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_Patient_score!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image" Target="../media/image8.emf"/><Relationship Id="rId10" Type="http://schemas.openxmlformats.org/officeDocument/2006/relationships/hyperlink" Target="#Average_Wait_Time_Patient_ER!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11.svg"/></Relationships>
</file>

<file path=xl/drawings/_rels/drawing4.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3.svg"/></Relationships>
</file>

<file path=xl/drawings/_rels/drawing5.xml.rels><?xml version="1.0" encoding="UTF-8" standalone="yes"?>
<Relationships xmlns="http://schemas.openxmlformats.org/package/2006/relationships"><Relationship Id="rId3" Type="http://schemas.openxmlformats.org/officeDocument/2006/relationships/image" Target="../media/image13.svg"/><Relationship Id="rId2" Type="http://schemas.openxmlformats.org/officeDocument/2006/relationships/image" Target="../media/image12.png"/><Relationship Id="rId1" Type="http://schemas.openxmlformats.org/officeDocument/2006/relationships/hyperlink" Target="#DASHBOARD!A1"/><Relationship Id="rId4" Type="http://schemas.openxmlformats.org/officeDocument/2006/relationships/chart" Target="../charts/chart1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editAs="absolute">
    <xdr:from>
      <xdr:col>2</xdr:col>
      <xdr:colOff>579120</xdr:colOff>
      <xdr:row>28</xdr:row>
      <xdr:rowOff>53341</xdr:rowOff>
    </xdr:from>
    <xdr:to>
      <xdr:col>4</xdr:col>
      <xdr:colOff>38100</xdr:colOff>
      <xdr:row>31</xdr:row>
      <xdr:rowOff>83820</xdr:rowOff>
    </xdr:to>
    <xdr:graphicFrame macro="">
      <xdr:nvGraphicFramePr>
        <xdr:cNvPr id="8" name="Chart 7">
          <a:extLst>
            <a:ext uri="{FF2B5EF4-FFF2-40B4-BE49-F238E27FC236}">
              <a16:creationId xmlns:a16="http://schemas.microsoft.com/office/drawing/2014/main" id="{B42D7EF0-7F36-47C0-AB5F-42083A8252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111370</xdr:colOff>
      <xdr:row>0</xdr:row>
      <xdr:rowOff>87923</xdr:rowOff>
    </xdr:from>
    <xdr:to>
      <xdr:col>5</xdr:col>
      <xdr:colOff>422031</xdr:colOff>
      <xdr:row>3</xdr:row>
      <xdr:rowOff>111369</xdr:rowOff>
    </xdr:to>
    <xdr:sp macro="" textlink="">
      <xdr:nvSpPr>
        <xdr:cNvPr id="2" name="Rectangle: Rounded Corners 1">
          <a:extLst>
            <a:ext uri="{FF2B5EF4-FFF2-40B4-BE49-F238E27FC236}">
              <a16:creationId xmlns:a16="http://schemas.microsoft.com/office/drawing/2014/main" id="{7C768F93-2520-4C51-90BE-81A2B77BC536}"/>
            </a:ext>
          </a:extLst>
        </xdr:cNvPr>
        <xdr:cNvSpPr/>
      </xdr:nvSpPr>
      <xdr:spPr>
        <a:xfrm>
          <a:off x="111370" y="87923"/>
          <a:ext cx="3358661" cy="56856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5</xdr:col>
      <xdr:colOff>451338</xdr:colOff>
      <xdr:row>0</xdr:row>
      <xdr:rowOff>82062</xdr:rowOff>
    </xdr:from>
    <xdr:to>
      <xdr:col>7</xdr:col>
      <xdr:colOff>603739</xdr:colOff>
      <xdr:row>3</xdr:row>
      <xdr:rowOff>105508</xdr:rowOff>
    </xdr:to>
    <xdr:sp macro="" textlink="">
      <xdr:nvSpPr>
        <xdr:cNvPr id="3" name="Rectangle: Rounded Corners 2">
          <a:extLst>
            <a:ext uri="{FF2B5EF4-FFF2-40B4-BE49-F238E27FC236}">
              <a16:creationId xmlns:a16="http://schemas.microsoft.com/office/drawing/2014/main" id="{73816D18-F8F4-489E-A64E-1241650C4CD9}"/>
            </a:ext>
          </a:extLst>
        </xdr:cNvPr>
        <xdr:cNvSpPr/>
      </xdr:nvSpPr>
      <xdr:spPr>
        <a:xfrm>
          <a:off x="3499338" y="82062"/>
          <a:ext cx="1371601" cy="568569"/>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87922</xdr:colOff>
      <xdr:row>0</xdr:row>
      <xdr:rowOff>82062</xdr:rowOff>
    </xdr:from>
    <xdr:to>
      <xdr:col>10</xdr:col>
      <xdr:colOff>445477</xdr:colOff>
      <xdr:row>6</xdr:row>
      <xdr:rowOff>146539</xdr:rowOff>
    </xdr:to>
    <xdr:sp macro="" textlink="">
      <xdr:nvSpPr>
        <xdr:cNvPr id="4" name="Rectangle: Rounded Corners 3">
          <a:extLst>
            <a:ext uri="{FF2B5EF4-FFF2-40B4-BE49-F238E27FC236}">
              <a16:creationId xmlns:a16="http://schemas.microsoft.com/office/drawing/2014/main" id="{9636CB3C-A6E6-48EF-8C20-DD33ABBC74F7}"/>
            </a:ext>
          </a:extLst>
        </xdr:cNvPr>
        <xdr:cNvSpPr/>
      </xdr:nvSpPr>
      <xdr:spPr>
        <a:xfrm>
          <a:off x="4970584" y="82062"/>
          <a:ext cx="1576755" cy="1154723"/>
        </a:xfrm>
        <a:prstGeom prst="roundRect">
          <a:avLst>
            <a:gd name="adj" fmla="val 1514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480645</xdr:colOff>
      <xdr:row>0</xdr:row>
      <xdr:rowOff>82062</xdr:rowOff>
    </xdr:from>
    <xdr:to>
      <xdr:col>13</xdr:col>
      <xdr:colOff>228600</xdr:colOff>
      <xdr:row>6</xdr:row>
      <xdr:rowOff>146539</xdr:rowOff>
    </xdr:to>
    <xdr:sp macro="" textlink="">
      <xdr:nvSpPr>
        <xdr:cNvPr id="5" name="Rectangle: Rounded Corners 4">
          <a:extLst>
            <a:ext uri="{FF2B5EF4-FFF2-40B4-BE49-F238E27FC236}">
              <a16:creationId xmlns:a16="http://schemas.microsoft.com/office/drawing/2014/main" id="{4A3A7092-D910-41B0-84B5-FE3877D7897F}"/>
            </a:ext>
          </a:extLst>
        </xdr:cNvPr>
        <xdr:cNvSpPr/>
      </xdr:nvSpPr>
      <xdr:spPr>
        <a:xfrm>
          <a:off x="6582507" y="82062"/>
          <a:ext cx="1576755" cy="1154723"/>
        </a:xfrm>
        <a:prstGeom prst="roundRect">
          <a:avLst>
            <a:gd name="adj" fmla="val 1514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105509</xdr:colOff>
      <xdr:row>3</xdr:row>
      <xdr:rowOff>152401</xdr:rowOff>
    </xdr:from>
    <xdr:to>
      <xdr:col>1</xdr:col>
      <xdr:colOff>386863</xdr:colOff>
      <xdr:row>21</xdr:row>
      <xdr:rowOff>93785</xdr:rowOff>
    </xdr:to>
    <xdr:sp macro="" textlink="">
      <xdr:nvSpPr>
        <xdr:cNvPr id="6" name="Rectangle: Rounded Corners 5">
          <a:extLst>
            <a:ext uri="{FF2B5EF4-FFF2-40B4-BE49-F238E27FC236}">
              <a16:creationId xmlns:a16="http://schemas.microsoft.com/office/drawing/2014/main" id="{5D46F694-7594-46C4-99A1-302DACD6FC52}"/>
            </a:ext>
          </a:extLst>
        </xdr:cNvPr>
        <xdr:cNvSpPr/>
      </xdr:nvSpPr>
      <xdr:spPr>
        <a:xfrm>
          <a:off x="105509" y="697524"/>
          <a:ext cx="890954" cy="3212123"/>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464469</xdr:colOff>
      <xdr:row>3</xdr:row>
      <xdr:rowOff>169985</xdr:rowOff>
    </xdr:from>
    <xdr:to>
      <xdr:col>3</xdr:col>
      <xdr:colOff>491117</xdr:colOff>
      <xdr:row>8</xdr:row>
      <xdr:rowOff>93784</xdr:rowOff>
    </xdr:to>
    <xdr:sp macro="" textlink="">
      <xdr:nvSpPr>
        <xdr:cNvPr id="7" name="Rectangle: Rounded Corners 6">
          <a:extLst>
            <a:ext uri="{FF2B5EF4-FFF2-40B4-BE49-F238E27FC236}">
              <a16:creationId xmlns:a16="http://schemas.microsoft.com/office/drawing/2014/main" id="{B551A234-65F4-4B7B-BA5F-13F96D801B59}"/>
            </a:ext>
          </a:extLst>
        </xdr:cNvPr>
        <xdr:cNvSpPr/>
      </xdr:nvSpPr>
      <xdr:spPr>
        <a:xfrm>
          <a:off x="1074069" y="715108"/>
          <a:ext cx="1245848" cy="832338"/>
        </a:xfrm>
        <a:prstGeom prst="roundRect">
          <a:avLst>
            <a:gd name="adj" fmla="val 1455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3</xdr:col>
      <xdr:colOff>541755</xdr:colOff>
      <xdr:row>3</xdr:row>
      <xdr:rowOff>169985</xdr:rowOff>
    </xdr:from>
    <xdr:to>
      <xdr:col>5</xdr:col>
      <xdr:colOff>556067</xdr:colOff>
      <xdr:row>8</xdr:row>
      <xdr:rowOff>93784</xdr:rowOff>
    </xdr:to>
    <xdr:sp macro="" textlink="">
      <xdr:nvSpPr>
        <xdr:cNvPr id="11" name="Rectangle: Rounded Corners 10">
          <a:extLst>
            <a:ext uri="{FF2B5EF4-FFF2-40B4-BE49-F238E27FC236}">
              <a16:creationId xmlns:a16="http://schemas.microsoft.com/office/drawing/2014/main" id="{F66C8F0B-0752-4E81-AC3A-9E8B5AE35EB3}"/>
            </a:ext>
          </a:extLst>
        </xdr:cNvPr>
        <xdr:cNvSpPr/>
      </xdr:nvSpPr>
      <xdr:spPr>
        <a:xfrm>
          <a:off x="2370555" y="715108"/>
          <a:ext cx="1233512" cy="83233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6</xdr:col>
      <xdr:colOff>3273</xdr:colOff>
      <xdr:row>3</xdr:row>
      <xdr:rowOff>169985</xdr:rowOff>
    </xdr:from>
    <xdr:to>
      <xdr:col>8</xdr:col>
      <xdr:colOff>1</xdr:colOff>
      <xdr:row>8</xdr:row>
      <xdr:rowOff>93784</xdr:rowOff>
    </xdr:to>
    <xdr:sp macro="" textlink="">
      <xdr:nvSpPr>
        <xdr:cNvPr id="12" name="Rectangle: Rounded Corners 11">
          <a:extLst>
            <a:ext uri="{FF2B5EF4-FFF2-40B4-BE49-F238E27FC236}">
              <a16:creationId xmlns:a16="http://schemas.microsoft.com/office/drawing/2014/main" id="{BCE8FABC-2C01-40FA-9E66-D9EFC06C4CCA}"/>
            </a:ext>
          </a:extLst>
        </xdr:cNvPr>
        <xdr:cNvSpPr/>
      </xdr:nvSpPr>
      <xdr:spPr>
        <a:xfrm>
          <a:off x="3660873" y="715108"/>
          <a:ext cx="1221790" cy="832338"/>
        </a:xfrm>
        <a:prstGeom prst="roundRect">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441023</xdr:colOff>
      <xdr:row>12</xdr:row>
      <xdr:rowOff>93785</xdr:rowOff>
    </xdr:from>
    <xdr:to>
      <xdr:col>8</xdr:col>
      <xdr:colOff>11723</xdr:colOff>
      <xdr:row>21</xdr:row>
      <xdr:rowOff>117231</xdr:rowOff>
    </xdr:to>
    <xdr:sp macro="" textlink="">
      <xdr:nvSpPr>
        <xdr:cNvPr id="14" name="Rectangle: Rounded Corners 13">
          <a:extLst>
            <a:ext uri="{FF2B5EF4-FFF2-40B4-BE49-F238E27FC236}">
              <a16:creationId xmlns:a16="http://schemas.microsoft.com/office/drawing/2014/main" id="{468E983A-F264-4D81-BD51-C1E4AEED2A17}"/>
            </a:ext>
          </a:extLst>
        </xdr:cNvPr>
        <xdr:cNvSpPr/>
      </xdr:nvSpPr>
      <xdr:spPr>
        <a:xfrm>
          <a:off x="1050623" y="2274277"/>
          <a:ext cx="3843762" cy="1658816"/>
        </a:xfrm>
        <a:prstGeom prst="roundRect">
          <a:avLst>
            <a:gd name="adj" fmla="val 11046"/>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446883</xdr:colOff>
      <xdr:row>8</xdr:row>
      <xdr:rowOff>158261</xdr:rowOff>
    </xdr:from>
    <xdr:to>
      <xdr:col>7</xdr:col>
      <xdr:colOff>609600</xdr:colOff>
      <xdr:row>12</xdr:row>
      <xdr:rowOff>35170</xdr:rowOff>
    </xdr:to>
    <xdr:sp macro="" textlink="">
      <xdr:nvSpPr>
        <xdr:cNvPr id="15" name="Rectangle: Rounded Corners 14">
          <a:extLst>
            <a:ext uri="{FF2B5EF4-FFF2-40B4-BE49-F238E27FC236}">
              <a16:creationId xmlns:a16="http://schemas.microsoft.com/office/drawing/2014/main" id="{F97DE03D-F3D3-4FA9-85A1-601794EF11B8}"/>
            </a:ext>
          </a:extLst>
        </xdr:cNvPr>
        <xdr:cNvSpPr/>
      </xdr:nvSpPr>
      <xdr:spPr>
        <a:xfrm>
          <a:off x="1056483" y="1611923"/>
          <a:ext cx="3820317" cy="603739"/>
        </a:xfrm>
        <a:prstGeom prst="roundRect">
          <a:avLst>
            <a:gd name="adj" fmla="val 8900"/>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8</xdr:col>
      <xdr:colOff>105507</xdr:colOff>
      <xdr:row>7</xdr:row>
      <xdr:rowOff>29308</xdr:rowOff>
    </xdr:from>
    <xdr:to>
      <xdr:col>13</xdr:col>
      <xdr:colOff>252046</xdr:colOff>
      <xdr:row>21</xdr:row>
      <xdr:rowOff>134815</xdr:rowOff>
    </xdr:to>
    <xdr:sp macro="" textlink="">
      <xdr:nvSpPr>
        <xdr:cNvPr id="20" name="Rectangle: Rounded Corners 19">
          <a:extLst>
            <a:ext uri="{FF2B5EF4-FFF2-40B4-BE49-F238E27FC236}">
              <a16:creationId xmlns:a16="http://schemas.microsoft.com/office/drawing/2014/main" id="{794F6B1D-5A34-4352-BDE7-CB21F03E896F}"/>
            </a:ext>
          </a:extLst>
        </xdr:cNvPr>
        <xdr:cNvSpPr/>
      </xdr:nvSpPr>
      <xdr:spPr>
        <a:xfrm>
          <a:off x="4988169" y="1301262"/>
          <a:ext cx="3194539" cy="2649415"/>
        </a:xfrm>
        <a:prstGeom prst="roundRect">
          <a:avLst>
            <a:gd name="adj" fmla="val 15144"/>
          </a:avLst>
        </a:prstGeom>
        <a:solidFill>
          <a:sysClr val="window" lastClr="FFFFFF"/>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269628</xdr:colOff>
      <xdr:row>0</xdr:row>
      <xdr:rowOff>134814</xdr:rowOff>
    </xdr:from>
    <xdr:to>
      <xdr:col>5</xdr:col>
      <xdr:colOff>515812</xdr:colOff>
      <xdr:row>2</xdr:row>
      <xdr:rowOff>41031</xdr:rowOff>
    </xdr:to>
    <xdr:sp macro="" textlink="">
      <xdr:nvSpPr>
        <xdr:cNvPr id="27" name="TextBox 26">
          <a:extLst>
            <a:ext uri="{FF2B5EF4-FFF2-40B4-BE49-F238E27FC236}">
              <a16:creationId xmlns:a16="http://schemas.microsoft.com/office/drawing/2014/main" id="{E2C7CE93-69C7-4678-803C-89B06589BF5A}"/>
            </a:ext>
          </a:extLst>
        </xdr:cNvPr>
        <xdr:cNvSpPr txBox="1"/>
      </xdr:nvSpPr>
      <xdr:spPr>
        <a:xfrm>
          <a:off x="879228" y="134814"/>
          <a:ext cx="2684584" cy="269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200">
              <a:latin typeface="Arial" panose="020B0604020202020204" pitchFamily="34" charset="0"/>
              <a:cs typeface="Arial" panose="020B0604020202020204" pitchFamily="34" charset="0"/>
            </a:rPr>
            <a:t>Hospital</a:t>
          </a:r>
          <a:r>
            <a:rPr lang="en-US" sz="1200" baseline="0">
              <a:latin typeface="Arial" panose="020B0604020202020204" pitchFamily="34" charset="0"/>
              <a:cs typeface="Arial" panose="020B0604020202020204" pitchFamily="34" charset="0"/>
            </a:rPr>
            <a:t> Emergency </a:t>
          </a:r>
          <a:r>
            <a:rPr lang="en-US" sz="1200" baseline="0">
              <a:latin typeface="+mn-lt"/>
              <a:cs typeface="Arial" panose="020B0604020202020204" pitchFamily="34" charset="0"/>
            </a:rPr>
            <a:t>Room</a:t>
          </a:r>
          <a:r>
            <a:rPr lang="en-US" sz="1200" baseline="0">
              <a:latin typeface="Arial" panose="020B0604020202020204" pitchFamily="34" charset="0"/>
              <a:cs typeface="Arial" panose="020B0604020202020204" pitchFamily="34" charset="0"/>
            </a:rPr>
            <a:t> </a:t>
          </a:r>
          <a:r>
            <a:rPr lang="en-US" sz="900" baseline="0">
              <a:latin typeface="Arial" panose="020B0604020202020204" pitchFamily="34" charset="0"/>
              <a:cs typeface="Arial" panose="020B0604020202020204" pitchFamily="34" charset="0"/>
            </a:rPr>
            <a:t>Dashboard</a:t>
          </a:r>
          <a:endParaRPr lang="en-US" sz="900">
            <a:latin typeface="Arial" panose="020B0604020202020204" pitchFamily="34" charset="0"/>
            <a:cs typeface="Arial" panose="020B0604020202020204" pitchFamily="34" charset="0"/>
          </a:endParaRPr>
        </a:p>
      </xdr:txBody>
    </xdr:sp>
    <xdr:clientData/>
  </xdr:twoCellAnchor>
  <xdr:twoCellAnchor editAs="oneCell">
    <xdr:from>
      <xdr:col>0</xdr:col>
      <xdr:colOff>0</xdr:colOff>
      <xdr:row>0</xdr:row>
      <xdr:rowOff>93844</xdr:rowOff>
    </xdr:from>
    <xdr:to>
      <xdr:col>1</xdr:col>
      <xdr:colOff>381000</xdr:colOff>
      <xdr:row>3</xdr:row>
      <xdr:rowOff>98726</xdr:rowOff>
    </xdr:to>
    <xdr:pic>
      <xdr:nvPicPr>
        <xdr:cNvPr id="29" name="Picture 28">
          <a:extLst>
            <a:ext uri="{FF2B5EF4-FFF2-40B4-BE49-F238E27FC236}">
              <a16:creationId xmlns:a16="http://schemas.microsoft.com/office/drawing/2014/main" id="{CEBFE5D5-C995-45A1-92B3-8A27B1DDEB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93844"/>
          <a:ext cx="990600" cy="550005"/>
        </a:xfrm>
        <a:prstGeom prst="rect">
          <a:avLst/>
        </a:prstGeom>
      </xdr:spPr>
    </xdr:pic>
    <xdr:clientData/>
  </xdr:twoCellAnchor>
  <xdr:twoCellAnchor editAs="absolute">
    <xdr:from>
      <xdr:col>2</xdr:col>
      <xdr:colOff>246183</xdr:colOff>
      <xdr:row>1</xdr:row>
      <xdr:rowOff>152399</xdr:rowOff>
    </xdr:from>
    <xdr:to>
      <xdr:col>4</xdr:col>
      <xdr:colOff>392724</xdr:colOff>
      <xdr:row>3</xdr:row>
      <xdr:rowOff>58616</xdr:rowOff>
    </xdr:to>
    <xdr:sp macro="" textlink="">
      <xdr:nvSpPr>
        <xdr:cNvPr id="30" name="TextBox 29">
          <a:extLst>
            <a:ext uri="{FF2B5EF4-FFF2-40B4-BE49-F238E27FC236}">
              <a16:creationId xmlns:a16="http://schemas.microsoft.com/office/drawing/2014/main" id="{DB2B1C75-F16B-4865-B250-2E685BD8EEFE}"/>
            </a:ext>
          </a:extLst>
        </xdr:cNvPr>
        <xdr:cNvSpPr txBox="1"/>
      </xdr:nvSpPr>
      <xdr:spPr>
        <a:xfrm>
          <a:off x="1465383" y="334107"/>
          <a:ext cx="1365741" cy="2696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050">
              <a:latin typeface="+mn-lt"/>
              <a:cs typeface="Arial" panose="020B0604020202020204" pitchFamily="34" charset="0"/>
            </a:rPr>
            <a:t>Monthly</a:t>
          </a:r>
          <a:r>
            <a:rPr lang="en-US" sz="1050" baseline="0">
              <a:latin typeface="Arial" panose="020B0604020202020204" pitchFamily="34" charset="0"/>
              <a:cs typeface="Arial" panose="020B0604020202020204" pitchFamily="34" charset="0"/>
            </a:rPr>
            <a:t> Report</a:t>
          </a:r>
          <a:endParaRPr lang="en-US" sz="1050">
            <a:latin typeface="Arial" panose="020B0604020202020204" pitchFamily="34" charset="0"/>
            <a:cs typeface="Arial" panose="020B0604020202020204" pitchFamily="34" charset="0"/>
          </a:endParaRPr>
        </a:p>
      </xdr:txBody>
    </xdr:sp>
    <xdr:clientData/>
  </xdr:twoCellAnchor>
  <xdr:twoCellAnchor editAs="absolute">
    <xdr:from>
      <xdr:col>1</xdr:col>
      <xdr:colOff>527539</xdr:colOff>
      <xdr:row>5</xdr:row>
      <xdr:rowOff>76201</xdr:rowOff>
    </xdr:from>
    <xdr:to>
      <xdr:col>3</xdr:col>
      <xdr:colOff>509955</xdr:colOff>
      <xdr:row>6</xdr:row>
      <xdr:rowOff>99647</xdr:rowOff>
    </xdr:to>
    <xdr:sp macro="" textlink="">
      <xdr:nvSpPr>
        <xdr:cNvPr id="31" name="TextBox 30">
          <a:extLst>
            <a:ext uri="{FF2B5EF4-FFF2-40B4-BE49-F238E27FC236}">
              <a16:creationId xmlns:a16="http://schemas.microsoft.com/office/drawing/2014/main" id="{3D95448F-D364-48EE-8A11-11D8A02C0F62}"/>
            </a:ext>
          </a:extLst>
        </xdr:cNvPr>
        <xdr:cNvSpPr txBox="1"/>
      </xdr:nvSpPr>
      <xdr:spPr>
        <a:xfrm>
          <a:off x="1137139" y="984739"/>
          <a:ext cx="1201616"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No.</a:t>
          </a:r>
          <a:r>
            <a:rPr lang="en-US" sz="800" baseline="0">
              <a:latin typeface="Arial" panose="020B0604020202020204" pitchFamily="34" charset="0"/>
              <a:cs typeface="Arial" panose="020B0604020202020204" pitchFamily="34" charset="0"/>
            </a:rPr>
            <a:t>of Patient</a:t>
          </a:r>
          <a:endParaRPr lang="en-US" sz="800">
            <a:latin typeface="Arial" panose="020B0604020202020204" pitchFamily="34" charset="0"/>
            <a:cs typeface="Arial" panose="020B0604020202020204" pitchFamily="34" charset="0"/>
          </a:endParaRPr>
        </a:p>
      </xdr:txBody>
    </xdr:sp>
    <xdr:clientData/>
  </xdr:twoCellAnchor>
  <xdr:twoCellAnchor editAs="absolute">
    <xdr:from>
      <xdr:col>1</xdr:col>
      <xdr:colOff>492369</xdr:colOff>
      <xdr:row>4</xdr:row>
      <xdr:rowOff>64477</xdr:rowOff>
    </xdr:from>
    <xdr:to>
      <xdr:col>3</xdr:col>
      <xdr:colOff>521678</xdr:colOff>
      <xdr:row>5</xdr:row>
      <xdr:rowOff>87924</xdr:rowOff>
    </xdr:to>
    <xdr:sp macro="" textlink="PIVOT_REPORT!A5">
      <xdr:nvSpPr>
        <xdr:cNvPr id="33" name="TextBox 32">
          <a:extLst>
            <a:ext uri="{FF2B5EF4-FFF2-40B4-BE49-F238E27FC236}">
              <a16:creationId xmlns:a16="http://schemas.microsoft.com/office/drawing/2014/main" id="{99DDC2C8-9687-409F-98DE-2A9C77A67E28}"/>
            </a:ext>
          </a:extLst>
        </xdr:cNvPr>
        <xdr:cNvSpPr txBox="1"/>
      </xdr:nvSpPr>
      <xdr:spPr>
        <a:xfrm>
          <a:off x="1101969" y="791308"/>
          <a:ext cx="1248509"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0F3D9DBD-C4F4-42BE-BD7B-2FAE18A34C0C}" type="TxLink">
            <a:rPr lang="en-US" sz="1100" b="0" i="0" u="none" strike="noStrike">
              <a:solidFill>
                <a:srgbClr val="000000"/>
              </a:solidFill>
              <a:latin typeface="Calibri"/>
              <a:ea typeface="Calibri"/>
              <a:cs typeface="Calibri"/>
            </a:rPr>
            <a:t>129</a:t>
          </a:fld>
          <a:endParaRPr lang="en-US" sz="800">
            <a:latin typeface="Arial" panose="020B0604020202020204" pitchFamily="34" charset="0"/>
            <a:cs typeface="Arial" panose="020B0604020202020204" pitchFamily="34" charset="0"/>
          </a:endParaRPr>
        </a:p>
      </xdr:txBody>
    </xdr:sp>
    <xdr:clientData/>
  </xdr:twoCellAnchor>
  <xdr:twoCellAnchor editAs="absolute">
    <xdr:from>
      <xdr:col>3</xdr:col>
      <xdr:colOff>580293</xdr:colOff>
      <xdr:row>5</xdr:row>
      <xdr:rowOff>82062</xdr:rowOff>
    </xdr:from>
    <xdr:to>
      <xdr:col>5</xdr:col>
      <xdr:colOff>562709</xdr:colOff>
      <xdr:row>6</xdr:row>
      <xdr:rowOff>105508</xdr:rowOff>
    </xdr:to>
    <xdr:sp macro="" textlink="">
      <xdr:nvSpPr>
        <xdr:cNvPr id="36" name="TextBox 35">
          <a:extLst>
            <a:ext uri="{FF2B5EF4-FFF2-40B4-BE49-F238E27FC236}">
              <a16:creationId xmlns:a16="http://schemas.microsoft.com/office/drawing/2014/main" id="{8A186CD5-A1A3-421A-ADBE-F2FCEE4C1E8D}"/>
            </a:ext>
          </a:extLst>
        </xdr:cNvPr>
        <xdr:cNvSpPr txBox="1"/>
      </xdr:nvSpPr>
      <xdr:spPr>
        <a:xfrm>
          <a:off x="2409093" y="990600"/>
          <a:ext cx="1201616"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Average</a:t>
          </a:r>
          <a:r>
            <a:rPr lang="en-US" sz="800" baseline="0">
              <a:latin typeface="Arial" panose="020B0604020202020204" pitchFamily="34" charset="0"/>
              <a:cs typeface="Arial" panose="020B0604020202020204" pitchFamily="34" charset="0"/>
            </a:rPr>
            <a:t>.</a:t>
          </a:r>
          <a:r>
            <a:rPr lang="en-US" sz="800" baseline="0">
              <a:latin typeface="+mn-lt"/>
              <a:cs typeface="Arial" panose="020B0604020202020204" pitchFamily="34" charset="0"/>
            </a:rPr>
            <a:t>Wait</a:t>
          </a:r>
          <a:r>
            <a:rPr lang="en-US" sz="800" baseline="0">
              <a:latin typeface="Arial" panose="020B0604020202020204" pitchFamily="34" charset="0"/>
              <a:cs typeface="Arial" panose="020B0604020202020204" pitchFamily="34" charset="0"/>
            </a:rPr>
            <a:t> Time</a:t>
          </a:r>
          <a:endParaRPr lang="en-US" sz="800">
            <a:latin typeface="Arial" panose="020B0604020202020204" pitchFamily="34" charset="0"/>
            <a:cs typeface="Arial" panose="020B0604020202020204" pitchFamily="34" charset="0"/>
          </a:endParaRPr>
        </a:p>
      </xdr:txBody>
    </xdr:sp>
    <xdr:clientData/>
  </xdr:twoCellAnchor>
  <xdr:twoCellAnchor editAs="absolute">
    <xdr:from>
      <xdr:col>3</xdr:col>
      <xdr:colOff>545123</xdr:colOff>
      <xdr:row>4</xdr:row>
      <xdr:rowOff>70338</xdr:rowOff>
    </xdr:from>
    <xdr:to>
      <xdr:col>5</xdr:col>
      <xdr:colOff>574432</xdr:colOff>
      <xdr:row>5</xdr:row>
      <xdr:rowOff>93785</xdr:rowOff>
    </xdr:to>
    <xdr:sp macro="" textlink="PIVOT_REPORT!A10">
      <xdr:nvSpPr>
        <xdr:cNvPr id="37" name="TextBox 36">
          <a:extLst>
            <a:ext uri="{FF2B5EF4-FFF2-40B4-BE49-F238E27FC236}">
              <a16:creationId xmlns:a16="http://schemas.microsoft.com/office/drawing/2014/main" id="{4DC56B24-A337-4628-BDBF-38D1B01C032F}"/>
            </a:ext>
          </a:extLst>
        </xdr:cNvPr>
        <xdr:cNvSpPr txBox="1"/>
      </xdr:nvSpPr>
      <xdr:spPr>
        <a:xfrm>
          <a:off x="2373923" y="797169"/>
          <a:ext cx="1248509"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49E8ADCF-276A-4BF8-AF80-38A6AD09E8E3}" type="TxLink">
            <a:rPr lang="en-US" sz="1100" b="0" i="0" u="none" strike="noStrike">
              <a:solidFill>
                <a:srgbClr val="000000"/>
              </a:solidFill>
              <a:latin typeface="Calibri"/>
              <a:ea typeface="Calibri"/>
              <a:cs typeface="Calibri"/>
            </a:rPr>
            <a:t>33.84</a:t>
          </a:fld>
          <a:endParaRPr lang="en-US" sz="1100" b="0" i="0" u="none" strike="noStrike">
            <a:solidFill>
              <a:srgbClr val="000000"/>
            </a:solidFill>
            <a:latin typeface="Calibri"/>
            <a:ea typeface="Calibri"/>
            <a:cs typeface="Calibri"/>
          </a:endParaRPr>
        </a:p>
      </xdr:txBody>
    </xdr:sp>
    <xdr:clientData/>
  </xdr:twoCellAnchor>
  <xdr:twoCellAnchor editAs="absolute">
    <xdr:from>
      <xdr:col>6</xdr:col>
      <xdr:colOff>41031</xdr:colOff>
      <xdr:row>5</xdr:row>
      <xdr:rowOff>105508</xdr:rowOff>
    </xdr:from>
    <xdr:to>
      <xdr:col>8</xdr:col>
      <xdr:colOff>17584</xdr:colOff>
      <xdr:row>6</xdr:row>
      <xdr:rowOff>128954</xdr:rowOff>
    </xdr:to>
    <xdr:sp macro="" textlink="">
      <xdr:nvSpPr>
        <xdr:cNvPr id="41" name="TextBox 40">
          <a:extLst>
            <a:ext uri="{FF2B5EF4-FFF2-40B4-BE49-F238E27FC236}">
              <a16:creationId xmlns:a16="http://schemas.microsoft.com/office/drawing/2014/main" id="{0AE8F784-5861-4155-BA54-0437F3380D03}"/>
            </a:ext>
          </a:extLst>
        </xdr:cNvPr>
        <xdr:cNvSpPr txBox="1"/>
      </xdr:nvSpPr>
      <xdr:spPr>
        <a:xfrm>
          <a:off x="3698631" y="1014046"/>
          <a:ext cx="1201615"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Patient</a:t>
          </a:r>
          <a:r>
            <a:rPr lang="en-US" sz="800" baseline="0">
              <a:latin typeface="Arial" panose="020B0604020202020204" pitchFamily="34" charset="0"/>
              <a:cs typeface="Arial" panose="020B0604020202020204" pitchFamily="34" charset="0"/>
            </a:rPr>
            <a:t> </a:t>
          </a:r>
          <a:r>
            <a:rPr lang="en-US" sz="800">
              <a:latin typeface="+mn-lt"/>
              <a:cs typeface="Arial" panose="020B0604020202020204" pitchFamily="34" charset="0"/>
            </a:rPr>
            <a:t>Satisfaction</a:t>
          </a:r>
          <a:r>
            <a:rPr lang="en-US" sz="800" baseline="0">
              <a:latin typeface="Arial" panose="020B0604020202020204" pitchFamily="34" charset="0"/>
              <a:cs typeface="Arial" panose="020B0604020202020204" pitchFamily="34" charset="0"/>
            </a:rPr>
            <a:t> Score</a:t>
          </a:r>
          <a:endParaRPr lang="en-US" sz="800">
            <a:latin typeface="Arial" panose="020B0604020202020204" pitchFamily="34" charset="0"/>
            <a:cs typeface="Arial" panose="020B0604020202020204" pitchFamily="34" charset="0"/>
          </a:endParaRPr>
        </a:p>
      </xdr:txBody>
    </xdr:sp>
    <xdr:clientData/>
  </xdr:twoCellAnchor>
  <xdr:twoCellAnchor editAs="absolute">
    <xdr:from>
      <xdr:col>6</xdr:col>
      <xdr:colOff>5861</xdr:colOff>
      <xdr:row>4</xdr:row>
      <xdr:rowOff>93784</xdr:rowOff>
    </xdr:from>
    <xdr:to>
      <xdr:col>8</xdr:col>
      <xdr:colOff>29308</xdr:colOff>
      <xdr:row>5</xdr:row>
      <xdr:rowOff>117231</xdr:rowOff>
    </xdr:to>
    <xdr:sp macro="" textlink="PIVOT_REPORT!A15">
      <xdr:nvSpPr>
        <xdr:cNvPr id="42" name="TextBox 41">
          <a:extLst>
            <a:ext uri="{FF2B5EF4-FFF2-40B4-BE49-F238E27FC236}">
              <a16:creationId xmlns:a16="http://schemas.microsoft.com/office/drawing/2014/main" id="{FE7B225F-7D72-4E2D-9F10-6508A8BCC466}"/>
            </a:ext>
          </a:extLst>
        </xdr:cNvPr>
        <xdr:cNvSpPr txBox="1"/>
      </xdr:nvSpPr>
      <xdr:spPr>
        <a:xfrm>
          <a:off x="3663461" y="820615"/>
          <a:ext cx="1248509"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3F73286D-0095-45F8-B0AE-9865DE606B99}" type="TxLink">
            <a:rPr lang="en-US" sz="1100" b="0" i="0" u="none" strike="noStrike">
              <a:solidFill>
                <a:srgbClr val="000000"/>
              </a:solidFill>
              <a:latin typeface="Calibri"/>
              <a:ea typeface="Calibri"/>
              <a:cs typeface="Calibri"/>
            </a:rPr>
            <a:t>4.90</a:t>
          </a:fld>
          <a:endParaRPr lang="en-US" sz="800">
            <a:latin typeface="Arial" panose="020B0604020202020204" pitchFamily="34" charset="0"/>
            <a:cs typeface="Arial" panose="020B0604020202020204" pitchFamily="34" charset="0"/>
          </a:endParaRPr>
        </a:p>
      </xdr:txBody>
    </xdr:sp>
    <xdr:clientData/>
  </xdr:twoCellAnchor>
  <xdr:twoCellAnchor editAs="oneCell">
    <xdr:from>
      <xdr:col>1</xdr:col>
      <xdr:colOff>498232</xdr:colOff>
      <xdr:row>3</xdr:row>
      <xdr:rowOff>175846</xdr:rowOff>
    </xdr:from>
    <xdr:to>
      <xdr:col>2</xdr:col>
      <xdr:colOff>222740</xdr:colOff>
      <xdr:row>5</xdr:row>
      <xdr:rowOff>146539</xdr:rowOff>
    </xdr:to>
    <xdr:pic>
      <xdr:nvPicPr>
        <xdr:cNvPr id="44" name="Graphic 43" descr="Male profile with solid fill">
          <a:extLst>
            <a:ext uri="{FF2B5EF4-FFF2-40B4-BE49-F238E27FC236}">
              <a16:creationId xmlns:a16="http://schemas.microsoft.com/office/drawing/2014/main" id="{DF40BAE8-5B60-4F16-AB51-88B942E4F7E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107832" y="720969"/>
          <a:ext cx="334108" cy="334108"/>
        </a:xfrm>
        <a:prstGeom prst="rect">
          <a:avLst/>
        </a:prstGeom>
      </xdr:spPr>
    </xdr:pic>
    <xdr:clientData/>
  </xdr:twoCellAnchor>
  <xdr:twoCellAnchor editAs="oneCell">
    <xdr:from>
      <xdr:col>6</xdr:col>
      <xdr:colOff>52755</xdr:colOff>
      <xdr:row>4</xdr:row>
      <xdr:rowOff>29308</xdr:rowOff>
    </xdr:from>
    <xdr:to>
      <xdr:col>6</xdr:col>
      <xdr:colOff>328246</xdr:colOff>
      <xdr:row>5</xdr:row>
      <xdr:rowOff>123092</xdr:rowOff>
    </xdr:to>
    <xdr:pic>
      <xdr:nvPicPr>
        <xdr:cNvPr id="46" name="Graphic 45" descr="Customer review with solid fill">
          <a:extLst>
            <a:ext uri="{FF2B5EF4-FFF2-40B4-BE49-F238E27FC236}">
              <a16:creationId xmlns:a16="http://schemas.microsoft.com/office/drawing/2014/main" id="{48E4127C-0CC1-4A8A-A7A5-430845826AC5}"/>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3710355" y="756139"/>
          <a:ext cx="275491" cy="275491"/>
        </a:xfrm>
        <a:prstGeom prst="rect">
          <a:avLst/>
        </a:prstGeom>
      </xdr:spPr>
    </xdr:pic>
    <xdr:clientData/>
  </xdr:twoCellAnchor>
  <xdr:twoCellAnchor editAs="oneCell">
    <xdr:from>
      <xdr:col>3</xdr:col>
      <xdr:colOff>560307</xdr:colOff>
      <xdr:row>4</xdr:row>
      <xdr:rowOff>9324</xdr:rowOff>
    </xdr:from>
    <xdr:to>
      <xdr:col>4</xdr:col>
      <xdr:colOff>252044</xdr:colOff>
      <xdr:row>5</xdr:row>
      <xdr:rowOff>128954</xdr:rowOff>
    </xdr:to>
    <xdr:pic>
      <xdr:nvPicPr>
        <xdr:cNvPr id="48" name="Graphic 47" descr="Hourglass Finished with solid fill">
          <a:extLst>
            <a:ext uri="{FF2B5EF4-FFF2-40B4-BE49-F238E27FC236}">
              <a16:creationId xmlns:a16="http://schemas.microsoft.com/office/drawing/2014/main" id="{C5E4FC3E-C0CB-4148-BD9A-7C70F33B593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rcRect r="-4047" b="-4047"/>
        <a:stretch/>
      </xdr:blipFill>
      <xdr:spPr>
        <a:xfrm>
          <a:off x="2389107" y="736155"/>
          <a:ext cx="301337" cy="301337"/>
        </a:xfrm>
        <a:prstGeom prst="rect">
          <a:avLst/>
        </a:prstGeom>
      </xdr:spPr>
    </xdr:pic>
    <xdr:clientData/>
  </xdr:twoCellAnchor>
  <xdr:twoCellAnchor editAs="oneCell">
    <xdr:from>
      <xdr:col>0</xdr:col>
      <xdr:colOff>205155</xdr:colOff>
      <xdr:row>4</xdr:row>
      <xdr:rowOff>140677</xdr:rowOff>
    </xdr:from>
    <xdr:to>
      <xdr:col>1</xdr:col>
      <xdr:colOff>293077</xdr:colOff>
      <xdr:row>20</xdr:row>
      <xdr:rowOff>111369</xdr:rowOff>
    </xdr:to>
    <mc:AlternateContent xmlns:mc="http://schemas.openxmlformats.org/markup-compatibility/2006">
      <mc:Choice xmlns:a14="http://schemas.microsoft.com/office/drawing/2010/main" Requires="a14">
        <xdr:graphicFrame macro="">
          <xdr:nvGraphicFramePr>
            <xdr:cNvPr id="51" name="Date (Month)">
              <a:extLst>
                <a:ext uri="{FF2B5EF4-FFF2-40B4-BE49-F238E27FC236}">
                  <a16:creationId xmlns:a16="http://schemas.microsoft.com/office/drawing/2014/main" id="{1F2066D0-E9A8-49FA-A9DD-483A0491658D}"/>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205155" y="877277"/>
              <a:ext cx="697522" cy="29170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439616</xdr:colOff>
      <xdr:row>6</xdr:row>
      <xdr:rowOff>99646</xdr:rowOff>
    </xdr:from>
    <xdr:to>
      <xdr:col>3</xdr:col>
      <xdr:colOff>457200</xdr:colOff>
      <xdr:row>8</xdr:row>
      <xdr:rowOff>181391</xdr:rowOff>
    </xdr:to>
    <xdr:graphicFrame macro="">
      <xdr:nvGraphicFramePr>
        <xdr:cNvPr id="56" name="Chart 55">
          <a:hlinkClick xmlns:r="http://schemas.openxmlformats.org/officeDocument/2006/relationships" r:id="rId8"/>
          <a:extLst>
            <a:ext uri="{FF2B5EF4-FFF2-40B4-BE49-F238E27FC236}">
              <a16:creationId xmlns:a16="http://schemas.microsoft.com/office/drawing/2014/main" id="{49A5E89E-1471-411A-BAE1-9C58F05E5E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527539</xdr:colOff>
      <xdr:row>6</xdr:row>
      <xdr:rowOff>87923</xdr:rowOff>
    </xdr:from>
    <xdr:to>
      <xdr:col>5</xdr:col>
      <xdr:colOff>545123</xdr:colOff>
      <xdr:row>8</xdr:row>
      <xdr:rowOff>82491</xdr:rowOff>
    </xdr:to>
    <xdr:graphicFrame macro="">
      <xdr:nvGraphicFramePr>
        <xdr:cNvPr id="57" name="Chart 56">
          <a:hlinkClick xmlns:r="http://schemas.openxmlformats.org/officeDocument/2006/relationships" r:id="rId10"/>
          <a:extLst>
            <a:ext uri="{FF2B5EF4-FFF2-40B4-BE49-F238E27FC236}">
              <a16:creationId xmlns:a16="http://schemas.microsoft.com/office/drawing/2014/main" id="{5B01C0EC-C719-4DBD-A1D6-3DC56A2CD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504093</xdr:colOff>
      <xdr:row>5</xdr:row>
      <xdr:rowOff>15182</xdr:rowOff>
    </xdr:from>
    <xdr:to>
      <xdr:col>7</xdr:col>
      <xdr:colOff>574431</xdr:colOff>
      <xdr:row>9</xdr:row>
      <xdr:rowOff>0</xdr:rowOff>
    </xdr:to>
    <xdr:graphicFrame macro="">
      <xdr:nvGraphicFramePr>
        <xdr:cNvPr id="60" name="Chart 59">
          <a:hlinkClick xmlns:r="http://schemas.openxmlformats.org/officeDocument/2006/relationships" r:id="rId12"/>
          <a:extLst>
            <a:ext uri="{FF2B5EF4-FFF2-40B4-BE49-F238E27FC236}">
              <a16:creationId xmlns:a16="http://schemas.microsoft.com/office/drawing/2014/main" id="{4747EBA4-3262-4D00-B6C1-9750B0BBD9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123093</xdr:colOff>
      <xdr:row>12</xdr:row>
      <xdr:rowOff>169985</xdr:rowOff>
    </xdr:from>
    <xdr:to>
      <xdr:col>7</xdr:col>
      <xdr:colOff>328246</xdr:colOff>
      <xdr:row>20</xdr:row>
      <xdr:rowOff>35168</xdr:rowOff>
    </xdr:to>
    <xdr:graphicFrame macro="">
      <xdr:nvGraphicFramePr>
        <xdr:cNvPr id="65" name="Chart 64">
          <a:extLst>
            <a:ext uri="{FF2B5EF4-FFF2-40B4-BE49-F238E27FC236}">
              <a16:creationId xmlns:a16="http://schemas.microsoft.com/office/drawing/2014/main" id="{BA572D52-854F-4DB1-A36F-1A72F8C407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445478</xdr:colOff>
          <xdr:row>8</xdr:row>
          <xdr:rowOff>140677</xdr:rowOff>
        </xdr:from>
        <xdr:to>
          <xdr:col>7</xdr:col>
          <xdr:colOff>609600</xdr:colOff>
          <xdr:row>12</xdr:row>
          <xdr:rowOff>46892</xdr:rowOff>
        </xdr:to>
        <xdr:pic>
          <xdr:nvPicPr>
            <xdr:cNvPr id="67" name="Picture 66">
              <a:extLst>
                <a:ext uri="{FF2B5EF4-FFF2-40B4-BE49-F238E27FC236}">
                  <a16:creationId xmlns:a16="http://schemas.microsoft.com/office/drawing/2014/main" id="{ABE794DC-ADC8-4BE0-9B05-2F9ED70BA98A}"/>
                </a:ext>
              </a:extLst>
            </xdr:cNvPr>
            <xdr:cNvPicPr>
              <a:picLocks noChangeAspect="1" noChangeArrowheads="1"/>
              <a:extLst>
                <a:ext uri="{84589F7E-364E-4C9E-8A38-B11213B215E9}">
                  <a14:cameraTool cellRange="PIVOT_REPORT!$A$29:$D$31" spid="_x0000_s2058"/>
                </a:ext>
              </a:extLst>
            </xdr:cNvPicPr>
          </xdr:nvPicPr>
          <xdr:blipFill>
            <a:blip xmlns:r="http://schemas.openxmlformats.org/officeDocument/2006/relationships" r:embed="rId15"/>
            <a:srcRect/>
            <a:stretch>
              <a:fillRect/>
            </a:stretch>
          </xdr:blipFill>
          <xdr:spPr bwMode="auto">
            <a:xfrm>
              <a:off x="1055078" y="1594339"/>
              <a:ext cx="3821722" cy="63304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3</xdr:col>
      <xdr:colOff>310662</xdr:colOff>
      <xdr:row>20</xdr:row>
      <xdr:rowOff>52755</xdr:rowOff>
    </xdr:from>
    <xdr:to>
      <xdr:col>6</xdr:col>
      <xdr:colOff>134815</xdr:colOff>
      <xdr:row>21</xdr:row>
      <xdr:rowOff>76201</xdr:rowOff>
    </xdr:to>
    <xdr:sp macro="" textlink="">
      <xdr:nvSpPr>
        <xdr:cNvPr id="70" name="TextBox 69">
          <a:extLst>
            <a:ext uri="{FF2B5EF4-FFF2-40B4-BE49-F238E27FC236}">
              <a16:creationId xmlns:a16="http://schemas.microsoft.com/office/drawing/2014/main" id="{95A1DEC5-8011-47FF-90F8-AEB6C4E9385F}"/>
            </a:ext>
          </a:extLst>
        </xdr:cNvPr>
        <xdr:cNvSpPr txBox="1"/>
      </xdr:nvSpPr>
      <xdr:spPr>
        <a:xfrm>
          <a:off x="2139462" y="3686909"/>
          <a:ext cx="1652953"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No.</a:t>
          </a:r>
          <a:r>
            <a:rPr lang="en-US" sz="800" baseline="0">
              <a:latin typeface="Arial" panose="020B0604020202020204" pitchFamily="34" charset="0"/>
              <a:cs typeface="Arial" panose="020B0604020202020204" pitchFamily="34" charset="0"/>
            </a:rPr>
            <a:t>of Patient By Age Group</a:t>
          </a:r>
          <a:endParaRPr lang="en-US" sz="800">
            <a:latin typeface="Arial" panose="020B0604020202020204" pitchFamily="34" charset="0"/>
            <a:cs typeface="Arial" panose="020B0604020202020204" pitchFamily="34" charset="0"/>
          </a:endParaRPr>
        </a:p>
      </xdr:txBody>
    </xdr:sp>
    <xdr:clientData/>
  </xdr:twoCellAnchor>
  <xdr:twoCellAnchor>
    <xdr:from>
      <xdr:col>8</xdr:col>
      <xdr:colOff>111370</xdr:colOff>
      <xdr:row>1</xdr:row>
      <xdr:rowOff>111368</xdr:rowOff>
    </xdr:from>
    <xdr:to>
      <xdr:col>10</xdr:col>
      <xdr:colOff>427891</xdr:colOff>
      <xdr:row>6</xdr:row>
      <xdr:rowOff>76198</xdr:rowOff>
    </xdr:to>
    <xdr:graphicFrame macro="">
      <xdr:nvGraphicFramePr>
        <xdr:cNvPr id="73" name="Chart 72">
          <a:extLst>
            <a:ext uri="{FF2B5EF4-FFF2-40B4-BE49-F238E27FC236}">
              <a16:creationId xmlns:a16="http://schemas.microsoft.com/office/drawing/2014/main" id="{42AABF97-8081-4B40-BB94-BEA9803BE5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8</xdr:col>
      <xdr:colOff>351693</xdr:colOff>
      <xdr:row>0</xdr:row>
      <xdr:rowOff>175847</xdr:rowOff>
    </xdr:from>
    <xdr:to>
      <xdr:col>10</xdr:col>
      <xdr:colOff>334109</xdr:colOff>
      <xdr:row>2</xdr:row>
      <xdr:rowOff>17586</xdr:rowOff>
    </xdr:to>
    <xdr:sp macro="" textlink="">
      <xdr:nvSpPr>
        <xdr:cNvPr id="75" name="TextBox 74">
          <a:extLst>
            <a:ext uri="{FF2B5EF4-FFF2-40B4-BE49-F238E27FC236}">
              <a16:creationId xmlns:a16="http://schemas.microsoft.com/office/drawing/2014/main" id="{6A7EE81E-25D8-4562-A674-20EFD7A7CB0C}"/>
            </a:ext>
          </a:extLst>
        </xdr:cNvPr>
        <xdr:cNvSpPr txBox="1"/>
      </xdr:nvSpPr>
      <xdr:spPr>
        <a:xfrm>
          <a:off x="5234355" y="175847"/>
          <a:ext cx="1201616"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Patient</a:t>
          </a:r>
          <a:r>
            <a:rPr lang="en-US" sz="800" baseline="0">
              <a:latin typeface="Arial" panose="020B0604020202020204" pitchFamily="34" charset="0"/>
              <a:cs typeface="Arial" panose="020B0604020202020204" pitchFamily="34" charset="0"/>
            </a:rPr>
            <a:t> Attend Status</a:t>
          </a:r>
          <a:endParaRPr lang="en-US" sz="800">
            <a:latin typeface="Arial" panose="020B0604020202020204" pitchFamily="34" charset="0"/>
            <a:cs typeface="Arial" panose="020B0604020202020204" pitchFamily="34" charset="0"/>
          </a:endParaRPr>
        </a:p>
      </xdr:txBody>
    </xdr:sp>
    <xdr:clientData/>
  </xdr:twoCellAnchor>
  <xdr:twoCellAnchor>
    <xdr:from>
      <xdr:col>10</xdr:col>
      <xdr:colOff>433753</xdr:colOff>
      <xdr:row>1</xdr:row>
      <xdr:rowOff>64477</xdr:rowOff>
    </xdr:from>
    <xdr:to>
      <xdr:col>13</xdr:col>
      <xdr:colOff>269630</xdr:colOff>
      <xdr:row>6</xdr:row>
      <xdr:rowOff>123093</xdr:rowOff>
    </xdr:to>
    <xdr:graphicFrame macro="">
      <xdr:nvGraphicFramePr>
        <xdr:cNvPr id="76" name="Chart 75">
          <a:extLst>
            <a:ext uri="{FF2B5EF4-FFF2-40B4-BE49-F238E27FC236}">
              <a16:creationId xmlns:a16="http://schemas.microsoft.com/office/drawing/2014/main" id="{3C6CD8FA-83CC-4EEF-BC74-76778FA2D8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11</xdr:col>
      <xdr:colOff>82063</xdr:colOff>
      <xdr:row>0</xdr:row>
      <xdr:rowOff>175847</xdr:rowOff>
    </xdr:from>
    <xdr:to>
      <xdr:col>13</xdr:col>
      <xdr:colOff>64479</xdr:colOff>
      <xdr:row>2</xdr:row>
      <xdr:rowOff>17586</xdr:rowOff>
    </xdr:to>
    <xdr:sp macro="" textlink="">
      <xdr:nvSpPr>
        <xdr:cNvPr id="84" name="TextBox 83">
          <a:extLst>
            <a:ext uri="{FF2B5EF4-FFF2-40B4-BE49-F238E27FC236}">
              <a16:creationId xmlns:a16="http://schemas.microsoft.com/office/drawing/2014/main" id="{695D4AC7-C59B-4B65-85A4-DC23AF2290F7}"/>
            </a:ext>
          </a:extLst>
        </xdr:cNvPr>
        <xdr:cNvSpPr txBox="1"/>
      </xdr:nvSpPr>
      <xdr:spPr>
        <a:xfrm>
          <a:off x="6793525" y="175847"/>
          <a:ext cx="1201616"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Gender</a:t>
          </a:r>
          <a:r>
            <a:rPr lang="en-US" sz="800" baseline="0">
              <a:latin typeface="Arial" panose="020B0604020202020204" pitchFamily="34" charset="0"/>
              <a:cs typeface="Arial" panose="020B0604020202020204" pitchFamily="34" charset="0"/>
            </a:rPr>
            <a:t> Wise Analysis</a:t>
          </a:r>
          <a:endParaRPr lang="en-US" sz="800">
            <a:latin typeface="Arial" panose="020B0604020202020204" pitchFamily="34" charset="0"/>
            <a:cs typeface="Arial" panose="020B0604020202020204" pitchFamily="34" charset="0"/>
          </a:endParaRPr>
        </a:p>
      </xdr:txBody>
    </xdr:sp>
    <xdr:clientData/>
  </xdr:twoCellAnchor>
  <xdr:twoCellAnchor>
    <xdr:from>
      <xdr:col>8</xdr:col>
      <xdr:colOff>82062</xdr:colOff>
      <xdr:row>9</xdr:row>
      <xdr:rowOff>23446</xdr:rowOff>
    </xdr:from>
    <xdr:to>
      <xdr:col>13</xdr:col>
      <xdr:colOff>205154</xdr:colOff>
      <xdr:row>21</xdr:row>
      <xdr:rowOff>58615</xdr:rowOff>
    </xdr:to>
    <xdr:graphicFrame macro="">
      <xdr:nvGraphicFramePr>
        <xdr:cNvPr id="85" name="Chart 84">
          <a:extLst>
            <a:ext uri="{FF2B5EF4-FFF2-40B4-BE49-F238E27FC236}">
              <a16:creationId xmlns:a16="http://schemas.microsoft.com/office/drawing/2014/main" id="{76A9F9EA-0F9C-4807-AE38-381B84203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9</xdr:col>
      <xdr:colOff>263769</xdr:colOff>
      <xdr:row>8</xdr:row>
      <xdr:rowOff>52754</xdr:rowOff>
    </xdr:from>
    <xdr:to>
      <xdr:col>12</xdr:col>
      <xdr:colOff>240322</xdr:colOff>
      <xdr:row>9</xdr:row>
      <xdr:rowOff>76201</xdr:rowOff>
    </xdr:to>
    <xdr:sp macro="" textlink="">
      <xdr:nvSpPr>
        <xdr:cNvPr id="87" name="TextBox 86">
          <a:extLst>
            <a:ext uri="{FF2B5EF4-FFF2-40B4-BE49-F238E27FC236}">
              <a16:creationId xmlns:a16="http://schemas.microsoft.com/office/drawing/2014/main" id="{B77C3D2B-4949-4F82-B46A-EBCDF4903BFB}"/>
            </a:ext>
          </a:extLst>
        </xdr:cNvPr>
        <xdr:cNvSpPr txBox="1"/>
      </xdr:nvSpPr>
      <xdr:spPr>
        <a:xfrm>
          <a:off x="5756031" y="1506416"/>
          <a:ext cx="1805353" cy="2051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800">
              <a:latin typeface="Arial" panose="020B0604020202020204" pitchFamily="34" charset="0"/>
              <a:cs typeface="Arial" panose="020B0604020202020204" pitchFamily="34" charset="0"/>
            </a:rPr>
            <a:t>No.of</a:t>
          </a:r>
          <a:r>
            <a:rPr lang="en-US" sz="800" baseline="0">
              <a:latin typeface="Arial" panose="020B0604020202020204" pitchFamily="34" charset="0"/>
              <a:cs typeface="Arial" panose="020B0604020202020204" pitchFamily="34" charset="0"/>
            </a:rPr>
            <a:t> Patient By Department Referal</a:t>
          </a:r>
          <a:endParaRPr lang="en-US" sz="800">
            <a:latin typeface="Arial" panose="020B0604020202020204" pitchFamily="34" charset="0"/>
            <a:cs typeface="Arial" panose="020B0604020202020204" pitchFamily="34" charset="0"/>
          </a:endParaRPr>
        </a:p>
      </xdr:txBody>
    </xdr:sp>
    <xdr:clientData/>
  </xdr:twoCellAnchor>
  <xdr:twoCellAnchor editAs="oneCell">
    <xdr:from>
      <xdr:col>5</xdr:col>
      <xdr:colOff>533401</xdr:colOff>
      <xdr:row>1</xdr:row>
      <xdr:rowOff>9619</xdr:rowOff>
    </xdr:from>
    <xdr:to>
      <xdr:col>7</xdr:col>
      <xdr:colOff>533400</xdr:colOff>
      <xdr:row>3</xdr:row>
      <xdr:rowOff>38929</xdr:rowOff>
    </xdr:to>
    <mc:AlternateContent xmlns:mc="http://schemas.openxmlformats.org/markup-compatibility/2006">
      <mc:Choice xmlns:a14="http://schemas.microsoft.com/office/drawing/2010/main" Requires="a14">
        <xdr:graphicFrame macro="">
          <xdr:nvGraphicFramePr>
            <xdr:cNvPr id="88" name="Date (Year)">
              <a:extLst>
                <a:ext uri="{FF2B5EF4-FFF2-40B4-BE49-F238E27FC236}">
                  <a16:creationId xmlns:a16="http://schemas.microsoft.com/office/drawing/2014/main" id="{30BC8816-6128-46A2-94AA-141E8B066766}"/>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3581401" y="193769"/>
              <a:ext cx="1219199" cy="39761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579120</xdr:colOff>
      <xdr:row>7</xdr:row>
      <xdr:rowOff>60960</xdr:rowOff>
    </xdr:from>
    <xdr:to>
      <xdr:col>13</xdr:col>
      <xdr:colOff>76200</xdr:colOff>
      <xdr:row>25</xdr:row>
      <xdr:rowOff>114300</xdr:rowOff>
    </xdr:to>
    <xdr:graphicFrame macro="">
      <xdr:nvGraphicFramePr>
        <xdr:cNvPr id="2" name="Chart 1">
          <a:extLst>
            <a:ext uri="{FF2B5EF4-FFF2-40B4-BE49-F238E27FC236}">
              <a16:creationId xmlns:a16="http://schemas.microsoft.com/office/drawing/2014/main" id="{E8F5B63A-0A61-466D-AB44-905089E63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1</xdr:row>
      <xdr:rowOff>114300</xdr:rowOff>
    </xdr:from>
    <xdr:to>
      <xdr:col>11</xdr:col>
      <xdr:colOff>472440</xdr:colOff>
      <xdr:row>6</xdr:row>
      <xdr:rowOff>30480</xdr:rowOff>
    </xdr:to>
    <xdr:sp macro="" textlink="">
      <xdr:nvSpPr>
        <xdr:cNvPr id="3" name="Rectangle: Rounded Corners 2">
          <a:extLst>
            <a:ext uri="{FF2B5EF4-FFF2-40B4-BE49-F238E27FC236}">
              <a16:creationId xmlns:a16="http://schemas.microsoft.com/office/drawing/2014/main" id="{3225DA5C-F113-408F-9CAD-973E2585E776}"/>
            </a:ext>
          </a:extLst>
        </xdr:cNvPr>
        <xdr:cNvSpPr/>
      </xdr:nvSpPr>
      <xdr:spPr>
        <a:xfrm>
          <a:off x="1775460" y="297180"/>
          <a:ext cx="5402580" cy="83058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281940</xdr:colOff>
      <xdr:row>2</xdr:row>
      <xdr:rowOff>121920</xdr:rowOff>
    </xdr:from>
    <xdr:to>
      <xdr:col>11</xdr:col>
      <xdr:colOff>106680</xdr:colOff>
      <xdr:row>5</xdr:row>
      <xdr:rowOff>15240</xdr:rowOff>
    </xdr:to>
    <xdr:sp macro="" textlink="">
      <xdr:nvSpPr>
        <xdr:cNvPr id="4" name="TextBox 3">
          <a:extLst>
            <a:ext uri="{FF2B5EF4-FFF2-40B4-BE49-F238E27FC236}">
              <a16:creationId xmlns:a16="http://schemas.microsoft.com/office/drawing/2014/main" id="{040DCAC8-F058-4B64-BAE6-0DF3E8D206C1}"/>
            </a:ext>
          </a:extLst>
        </xdr:cNvPr>
        <xdr:cNvSpPr txBox="1"/>
      </xdr:nvSpPr>
      <xdr:spPr>
        <a:xfrm>
          <a:off x="2110740" y="487680"/>
          <a:ext cx="4701540" cy="44196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Daily</a:t>
          </a:r>
          <a:r>
            <a:rPr lang="en-US" sz="1600" b="1" baseline="0">
              <a:solidFill>
                <a:schemeClr val="bg1"/>
              </a:solidFill>
            </a:rPr>
            <a:t> No Of Patients In Emergency Room</a:t>
          </a:r>
          <a:endParaRPr lang="en-US" sz="1600" b="1">
            <a:solidFill>
              <a:schemeClr val="bg1"/>
            </a:solidFill>
          </a:endParaRPr>
        </a:p>
      </xdr:txBody>
    </xdr:sp>
    <xdr:clientData/>
  </xdr:twoCellAnchor>
  <xdr:twoCellAnchor editAs="oneCell">
    <xdr:from>
      <xdr:col>0</xdr:col>
      <xdr:colOff>441960</xdr:colOff>
      <xdr:row>1</xdr:row>
      <xdr:rowOff>121920</xdr:rowOff>
    </xdr:from>
    <xdr:to>
      <xdr:col>1</xdr:col>
      <xdr:colOff>411480</xdr:colOff>
      <xdr:row>4</xdr:row>
      <xdr:rowOff>152400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48618A2C-4EBB-42B8-8E03-C276B34A885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41960" y="304800"/>
          <a:ext cx="579120" cy="57912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457200</xdr:colOff>
      <xdr:row>6</xdr:row>
      <xdr:rowOff>45720</xdr:rowOff>
    </xdr:from>
    <xdr:to>
      <xdr:col>13</xdr:col>
      <xdr:colOff>45720</xdr:colOff>
      <xdr:row>24</xdr:row>
      <xdr:rowOff>45720</xdr:rowOff>
    </xdr:to>
    <xdr:graphicFrame macro="">
      <xdr:nvGraphicFramePr>
        <xdr:cNvPr id="2" name="Chart 1">
          <a:extLst>
            <a:ext uri="{FF2B5EF4-FFF2-40B4-BE49-F238E27FC236}">
              <a16:creationId xmlns:a16="http://schemas.microsoft.com/office/drawing/2014/main" id="{17F032F9-B288-41A7-A69F-3E3F0CE1C0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365760</xdr:colOff>
      <xdr:row>0</xdr:row>
      <xdr:rowOff>167640</xdr:rowOff>
    </xdr:from>
    <xdr:to>
      <xdr:col>12</xdr:col>
      <xdr:colOff>281940</xdr:colOff>
      <xdr:row>5</xdr:row>
      <xdr:rowOff>83820</xdr:rowOff>
    </xdr:to>
    <xdr:sp macro="" textlink="">
      <xdr:nvSpPr>
        <xdr:cNvPr id="3" name="Rectangle: Rounded Corners 2">
          <a:extLst>
            <a:ext uri="{FF2B5EF4-FFF2-40B4-BE49-F238E27FC236}">
              <a16:creationId xmlns:a16="http://schemas.microsoft.com/office/drawing/2014/main" id="{4ED025C6-3BEE-4F30-B69A-34B5BDC2880D}"/>
            </a:ext>
          </a:extLst>
        </xdr:cNvPr>
        <xdr:cNvSpPr/>
      </xdr:nvSpPr>
      <xdr:spPr>
        <a:xfrm>
          <a:off x="2194560" y="167640"/>
          <a:ext cx="5402580" cy="83058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91440</xdr:colOff>
      <xdr:row>1</xdr:row>
      <xdr:rowOff>175260</xdr:rowOff>
    </xdr:from>
    <xdr:to>
      <xdr:col>11</xdr:col>
      <xdr:colOff>525780</xdr:colOff>
      <xdr:row>4</xdr:row>
      <xdr:rowOff>68580</xdr:rowOff>
    </xdr:to>
    <xdr:sp macro="" textlink="">
      <xdr:nvSpPr>
        <xdr:cNvPr id="4" name="TextBox 3">
          <a:extLst>
            <a:ext uri="{FF2B5EF4-FFF2-40B4-BE49-F238E27FC236}">
              <a16:creationId xmlns:a16="http://schemas.microsoft.com/office/drawing/2014/main" id="{6F3F5FC2-82C9-4225-9C7A-4E3BE71D8FA2}"/>
            </a:ext>
          </a:extLst>
        </xdr:cNvPr>
        <xdr:cNvSpPr txBox="1"/>
      </xdr:nvSpPr>
      <xdr:spPr>
        <a:xfrm>
          <a:off x="2529840" y="358140"/>
          <a:ext cx="4701540" cy="44196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Average</a:t>
          </a:r>
          <a:r>
            <a:rPr lang="en-US" sz="1600" b="1" baseline="0">
              <a:solidFill>
                <a:schemeClr val="bg1"/>
              </a:solidFill>
            </a:rPr>
            <a:t> waiting Patient Time In ER Daily</a:t>
          </a:r>
          <a:endParaRPr lang="en-US" sz="1600" b="1">
            <a:solidFill>
              <a:schemeClr val="bg1"/>
            </a:solidFill>
          </a:endParaRPr>
        </a:p>
      </xdr:txBody>
    </xdr:sp>
    <xdr:clientData/>
  </xdr:twoCellAnchor>
  <xdr:twoCellAnchor editAs="oneCell">
    <xdr:from>
      <xdr:col>0</xdr:col>
      <xdr:colOff>495300</xdr:colOff>
      <xdr:row>1</xdr:row>
      <xdr:rowOff>22860</xdr:rowOff>
    </xdr:from>
    <xdr:to>
      <xdr:col>1</xdr:col>
      <xdr:colOff>502920</xdr:colOff>
      <xdr:row>4</xdr:row>
      <xdr:rowOff>91440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DC5F09F1-F8C8-45F4-930A-BFB4E489359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95300" y="205740"/>
          <a:ext cx="617220" cy="61722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365760</xdr:colOff>
      <xdr:row>0</xdr:row>
      <xdr:rowOff>167640</xdr:rowOff>
    </xdr:from>
    <xdr:to>
      <xdr:col>12</xdr:col>
      <xdr:colOff>281940</xdr:colOff>
      <xdr:row>5</xdr:row>
      <xdr:rowOff>83820</xdr:rowOff>
    </xdr:to>
    <xdr:sp macro="" textlink="">
      <xdr:nvSpPr>
        <xdr:cNvPr id="3" name="Rectangle: Rounded Corners 2">
          <a:extLst>
            <a:ext uri="{FF2B5EF4-FFF2-40B4-BE49-F238E27FC236}">
              <a16:creationId xmlns:a16="http://schemas.microsoft.com/office/drawing/2014/main" id="{64A666D4-B720-4222-AF87-7ED297BAD271}"/>
            </a:ext>
          </a:extLst>
        </xdr:cNvPr>
        <xdr:cNvSpPr/>
      </xdr:nvSpPr>
      <xdr:spPr>
        <a:xfrm>
          <a:off x="2194560" y="167640"/>
          <a:ext cx="5402580" cy="830580"/>
        </a:xfrm>
        <a:prstGeom prst="roundRect">
          <a:avLst/>
        </a:prstGeom>
        <a:solidFill>
          <a:schemeClr val="bg2">
            <a:lumMod val="9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91440</xdr:colOff>
      <xdr:row>1</xdr:row>
      <xdr:rowOff>175260</xdr:rowOff>
    </xdr:from>
    <xdr:to>
      <xdr:col>11</xdr:col>
      <xdr:colOff>525780</xdr:colOff>
      <xdr:row>4</xdr:row>
      <xdr:rowOff>68580</xdr:rowOff>
    </xdr:to>
    <xdr:sp macro="" textlink="">
      <xdr:nvSpPr>
        <xdr:cNvPr id="4" name="TextBox 3">
          <a:extLst>
            <a:ext uri="{FF2B5EF4-FFF2-40B4-BE49-F238E27FC236}">
              <a16:creationId xmlns:a16="http://schemas.microsoft.com/office/drawing/2014/main" id="{9762311D-BB32-479E-A022-7CDFB5D352BC}"/>
            </a:ext>
          </a:extLst>
        </xdr:cNvPr>
        <xdr:cNvSpPr txBox="1"/>
      </xdr:nvSpPr>
      <xdr:spPr>
        <a:xfrm>
          <a:off x="2529840" y="358140"/>
          <a:ext cx="4701540" cy="441960"/>
        </a:xfrm>
        <a:prstGeom prst="rect">
          <a:avLst/>
        </a:prstGeom>
        <a:solidFill>
          <a:schemeClr val="bg2">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bg1"/>
              </a:solidFill>
            </a:rPr>
            <a:t>Satisfaction_Patient_Score</a:t>
          </a:r>
          <a:r>
            <a:rPr lang="en-US" sz="1600" b="1" baseline="0">
              <a:solidFill>
                <a:schemeClr val="bg1"/>
              </a:solidFill>
            </a:rPr>
            <a:t>_Daily</a:t>
          </a:r>
          <a:endParaRPr lang="en-US" sz="1600" b="1">
            <a:solidFill>
              <a:schemeClr val="bg1"/>
            </a:solidFill>
          </a:endParaRPr>
        </a:p>
      </xdr:txBody>
    </xdr:sp>
    <xdr:clientData/>
  </xdr:twoCellAnchor>
  <xdr:twoCellAnchor editAs="oneCell">
    <xdr:from>
      <xdr:col>0</xdr:col>
      <xdr:colOff>495300</xdr:colOff>
      <xdr:row>1</xdr:row>
      <xdr:rowOff>22860</xdr:rowOff>
    </xdr:from>
    <xdr:to>
      <xdr:col>1</xdr:col>
      <xdr:colOff>502920</xdr:colOff>
      <xdr:row>4</xdr:row>
      <xdr:rowOff>91440</xdr:rowOff>
    </xdr:to>
    <xdr:pic>
      <xdr:nvPicPr>
        <xdr:cNvPr id="5" name="Graphic 4" descr="Home with solid fill">
          <a:hlinkClick xmlns:r="http://schemas.openxmlformats.org/officeDocument/2006/relationships" r:id="rId1"/>
          <a:extLst>
            <a:ext uri="{FF2B5EF4-FFF2-40B4-BE49-F238E27FC236}">
              <a16:creationId xmlns:a16="http://schemas.microsoft.com/office/drawing/2014/main" id="{96DD7187-7A1E-475B-9DC8-A0BA92D95AB9}"/>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495300" y="205740"/>
          <a:ext cx="617220" cy="617220"/>
        </a:xfrm>
        <a:prstGeom prst="rect">
          <a:avLst/>
        </a:prstGeom>
      </xdr:spPr>
    </xdr:pic>
    <xdr:clientData/>
  </xdr:twoCellAnchor>
  <xdr:twoCellAnchor>
    <xdr:from>
      <xdr:col>2</xdr:col>
      <xdr:colOff>434340</xdr:colOff>
      <xdr:row>6</xdr:row>
      <xdr:rowOff>167640</xdr:rowOff>
    </xdr:from>
    <xdr:to>
      <xdr:col>13</xdr:col>
      <xdr:colOff>601980</xdr:colOff>
      <xdr:row>24</xdr:row>
      <xdr:rowOff>38100</xdr:rowOff>
    </xdr:to>
    <xdr:graphicFrame macro="">
      <xdr:nvGraphicFramePr>
        <xdr:cNvPr id="6" name="Chart 5">
          <a:extLst>
            <a:ext uri="{FF2B5EF4-FFF2-40B4-BE49-F238E27FC236}">
              <a16:creationId xmlns:a16="http://schemas.microsoft.com/office/drawing/2014/main" id="{3C2DED19-A2AF-4BB8-8890-FFF911CA90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5023148" createdVersion="5" refreshedVersion="7" minRefreshableVersion="3" recordCount="0" supportSubquery="1" supportAdvancedDrill="1" xr:uid="{BB2D28BA-DBDF-4B80-8D2C-EAD14AE4191C}">
  <cacheSource type="external" connectionId="3"/>
  <cacheFields count="4">
    <cacheField name="[Calender_Table].[Date (Month)].[Date (Month)]" caption="Date (Month)" numFmtId="0" hierarchy="1" level="1">
      <sharedItems containsNonDate="0" count="1">
        <s v="Jan"/>
      </sharedItems>
    </cacheField>
    <cacheField name="[Calender_Table].[Date].[Date]" caption="Date"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er_Table].[Date (Quarter)].[Date (Quarter)]" caption="Date (Quarter)" numFmtId="0" hierarchy="4" level="1">
      <sharedItems containsNonDate="0" count="1">
        <s v="Qtr1"/>
      </sharedItems>
    </cacheField>
    <cacheField name="[Calender_Table].[Date (Year)].[Date (Year)]" caption="Date (Year)" numFmtId="0" hierarchy="3" level="1">
      <sharedItems count="1">
        <s v="2023"/>
      </sharedItems>
    </cacheField>
  </cacheFields>
  <cacheHierarchies count="35">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2"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5138887" createdVersion="5" refreshedVersion="7" minRefreshableVersion="3" recordCount="0" supportSubquery="1" supportAdvancedDrill="1" xr:uid="{54445DF1-B419-453E-9012-8A4D0B4BB2F1}">
  <cacheSource type="external" connectionId="3"/>
  <cacheFields count="3">
    <cacheField name="[Measures].[Distinct Count of Patient Id]" caption="Distinct Count of Patient Id"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548611" createdVersion="5" refreshedVersion="7" minRefreshableVersion="3" recordCount="0" supportSubquery="1" supportAdvancedDrill="1" xr:uid="{CA7C0D8F-2D15-45C2-878F-1F9972DA9848}">
  <cacheSource type="external" connectionId="3"/>
  <cacheFields count="4">
    <cacheField name="[Calender_Table].[Date (Month)].[Date (Month)]" caption="Date (Month)" numFmtId="0" hierarchy="1" level="1">
      <sharedItems containsSemiMixedTypes="0" containsNonDate="0" containsString="0"/>
    </cacheField>
    <cacheField name="[Hospital Emergency Room Data].[Age Group].[Age Group]" caption="Age Group" numFmtId="0" hierarchy="17" level="1">
      <sharedItems count="8">
        <s v="0-9"/>
        <s v="10-19"/>
        <s v="20-29"/>
        <s v="30-39"/>
        <s v="40-49"/>
        <s v="50-59"/>
        <s v="60-69"/>
        <s v="70-79"/>
      </sharedItems>
    </cacheField>
    <cacheField name="[Measures].[Count of Age Group]" caption="Count of Age Group" numFmtId="0" hierarchy="31"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5833334" createdVersion="5" refreshedVersion="7" minRefreshableVersion="3" recordCount="0" supportSubquery="1" supportAdvancedDrill="1" xr:uid="{1FA32CD1-99E0-4BCD-AB71-E20A91113990}">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8" level="1">
      <sharedItems count="2">
        <s v="Delay"/>
        <s v="Ontime"/>
      </sharedItems>
    </cacheField>
    <cacheField name="[Measures].[Count of Patient attend Status]" caption="Count of Patient attend Status" numFmtId="0" hierarchy="32"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6180557" createdVersion="5" refreshedVersion="7" minRefreshableVersion="3" recordCount="0" supportSubquery="1" supportAdvancedDrill="1" xr:uid="{C30E0E2D-2A52-4590-83C6-ECB2FE2FE3D1}">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10" level="1">
      <sharedItems count="2">
        <s v="Female"/>
        <s v="Male"/>
      </sharedItems>
    </cacheField>
    <cacheField name="[Measures].[Count of Patient Gender]" caption="Count of Patient Gender" numFmtId="0" hierarchy="33"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6875003" createdVersion="5" refreshedVersion="7" minRefreshableVersion="3" recordCount="0" supportSubquery="1" supportAdvancedDrill="1" xr:uid="{F6308444-A1AA-4652-B80C-DB4F2270F9BF}">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6990742" createdVersion="5" refreshedVersion="7" minRefreshableVersion="3" recordCount="0" supportSubquery="1" supportAdvancedDrill="1" xr:uid="{CCBFD4A6-8428-4F28-85AC-52E4EE354708}">
  <cacheSource type="external" connectionId="3"/>
  <cacheFields count="3">
    <cacheField name="[Measures].[Average of Patient Waittime]" caption="Average of Patient Waittim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7222219" createdVersion="5" refreshedVersion="7" minRefreshableVersion="3" recordCount="0" supportSubquery="1" supportAdvancedDrill="1" xr:uid="{3999D61C-464E-49F9-AF6B-56B2224E4F1D}">
  <cacheSource type="external" connectionId="3"/>
  <cacheFields count="3">
    <cacheField name="[Measures].[Average of Patient Satisfaction Score]" caption="Average of Patient Satisfaction Score" numFmtId="0" hierarchy="29"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7569443" createdVersion="5" refreshedVersion="7" minRefreshableVersion="3" recordCount="0" supportSubquery="1" supportAdvancedDrill="1" xr:uid="{D02349BB-D47D-488E-B942-8F8E7AEF216E}">
  <cacheSource type="external" connectionId="3"/>
  <cacheFields count="4">
    <cacheField name="[Measures].[Distinct Count of Patient Id]" caption="Distinct Count of Patient Id" numFmtId="0" hierarchy="25" level="32767"/>
    <cacheField name="[Calender_Table].[Date (Day)].[Date (Day)]" caption="Date (Day)" numFmtId="0" hierarchy="2" level="1">
      <sharedItems count="21">
        <s v="4-Feb"/>
        <s v="5-Feb"/>
        <s v="6-Feb"/>
        <s v="7-Feb"/>
        <s v="8-Feb"/>
        <s v="9-Feb"/>
        <s v="10-Feb"/>
        <s v="11-Feb"/>
        <s v="12-Feb"/>
        <s v="1-Mar" u="1"/>
        <s v="2-Mar" u="1"/>
        <s v="3-Mar" u="1"/>
        <s v="4-Mar" u="1"/>
        <s v="5-Mar" u="1"/>
        <s v="6-Mar" u="1"/>
        <s v="7-Mar" u="1"/>
        <s v="8-Mar" u="1"/>
        <s v="9-Mar" u="1"/>
        <s v="10-Mar" u="1"/>
        <s v="11-Mar" u="1"/>
        <s v="12-Mar" u="1"/>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8032404" createdVersion="5" refreshedVersion="7" minRefreshableVersion="3" recordCount="0" supportSubquery="1" supportAdvancedDrill="1" xr:uid="{D01D82CE-2083-4240-AC40-2219AADA7602}">
  <cacheSource type="external" connectionId="3"/>
  <cacheFields count="4">
    <cacheField name="[Calender_Table].[Date (Day)].[Date (Day)]" caption="Date (Day)" numFmtId="0" hierarchy="2" level="1">
      <sharedItems count="9">
        <s v="4-Feb"/>
        <s v="5-Feb"/>
        <s v="6-Feb"/>
        <s v="7-Feb"/>
        <s v="8-Feb"/>
        <s v="9-Feb"/>
        <s v="10-Feb"/>
        <s v="11-Feb"/>
        <s v="12-Feb"/>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7"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8495374" createdVersion="5" refreshedVersion="7" minRefreshableVersion="3" recordCount="0" supportSubquery="1" supportAdvancedDrill="1" xr:uid="{5E8637D0-3FE1-4B83-B76A-0AB419EDA38E}">
  <cacheSource type="external" connectionId="3"/>
  <cacheFields count="4">
    <cacheField name="[Calender_Table].[Date (Day)].[Date (Day)]" caption="Date (Day)" numFmtId="0" hierarchy="2" level="1">
      <sharedItems count="9">
        <s v="4-Feb"/>
        <s v="5-Feb"/>
        <s v="6-Feb"/>
        <s v="7-Feb"/>
        <s v="8-Feb"/>
        <s v="9-Feb"/>
        <s v="10-Feb"/>
        <s v="11-Feb"/>
        <s v="12-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9" level="32767"/>
    <cacheField name="[Calender_Table].[Date (Year)].[Date (Year)]" caption="Date (Year)" numFmtId="0" hierarchy="3" level="1">
      <sharedItems containsSemiMixedTypes="0" containsNonDate="0" containsString="0"/>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2504884259" createdVersion="5" refreshedVersion="7" minRefreshableVersion="3" recordCount="0" supportSubquery="1" supportAdvancedDrill="1" xr:uid="{056897A6-E679-4E62-9C4C-29D84EA689F7}">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4" level="1">
      <sharedItems count="2">
        <s v="Admitted"/>
        <s v="Not admitted"/>
      </sharedItems>
    </cacheField>
    <cacheField name="[Measures].[Count of Patient Admission Flag]" caption="Count of Patient Admission Flag" numFmtId="0" hierarchy="30" level="32767"/>
    <cacheField name="[Calender_Table].[Date (Year)].[Date (Year)]" caption="Date (Year)" numFmtId="0" hierarchy="3" level="1">
      <sharedItems containsSemiMixedTypes="0" containsNonDate="0" containsString="0"/>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UHAMMAD AMAAN" refreshedDate="45929.91785046296" createdVersion="3" refreshedVersion="7" minRefreshableVersion="3" recordCount="0" supportSubquery="1" supportAdvancedDrill="1" xr:uid="{C7D85055-2406-454F-B77F-6E12520AC04D}">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Patient Admission Date.3]" caption="Patient Admission Date.3" attribute="1" defaultMemberUniqueName="[Hospital Emergency Room Data].[Patient Admission Date.3].[All]" allUniqueName="[Hospital Emergency Room Data].[Patient Admission Date.3].[All]" dimensionUniqueName="[Hospital Emergency Room Data]" displayFolder="" count="0" memberValueDatatype="130" unbalanced="0"/>
    <cacheHierarchy uniqueName="[Hospital Emergency Room Data].[Patient Name]" caption="Patient Name" attribute="1" defaultMemberUniqueName="[Hospital Emergency Room Data].[Patient Name].[All]" allUniqueName="[Hospital Emergency Room Data].[Patient 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21105469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A7D637-2B80-4FFF-AEC3-EB9CE3B06007}" name="PivotTable14" cacheId="2645" applyNumberFormats="0" applyBorderFormats="0" applyFontFormats="0" applyPatternFormats="0" applyAlignmentFormats="0" applyWidthHeightFormats="1" dataCaption="Values" tag="1b37a0e2-81cc-46a4-99a5-f37f166a6fb1" updatedVersion="7" minRefreshableVersion="3" subtotalHiddenItems="1" itemPrintTitles="1" createdVersion="5" indent="0" outline="1" outlineData="1" multipleFieldFilters="0" chartFormat="20">
  <location ref="A79:A81"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05">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E1D9231-3CF3-43A7-A40F-889A2A8A549A}" name="PivotTable13" cacheId="2660" applyNumberFormats="0" applyBorderFormats="0" applyFontFormats="0" applyPatternFormats="0" applyAlignmentFormats="0" applyWidthHeightFormats="1" dataCaption="Values" tag="d469e806-8724-4ca7-8977-03398801f9fd" updatedVersion="7" minRefreshableVersion="3" subtotalHiddenItems="1" itemPrintTitles="1" createdVersion="5" indent="0" outline="1" outlineData="1" multipleFieldFilters="0" chartFormat="20">
  <location ref="A65:B74"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i>
    <i>
      <x v="3"/>
    </i>
    <i>
      <x v="6"/>
    </i>
    <i>
      <x v="1"/>
    </i>
    <i>
      <x v="5"/>
    </i>
    <i>
      <x v="2"/>
    </i>
    <i>
      <x v="4"/>
    </i>
    <i t="grand">
      <x/>
    </i>
  </rowItems>
  <colItems count="1">
    <i/>
  </colItems>
  <dataFields count="1">
    <dataField name="Count of Department Referral" fld="2" subtotal="count" baseField="0" baseItem="0"/>
  </dataFields>
  <formats count="1">
    <format dxfId="285">
      <pivotArea outline="0" collapsedLevelsAreSubtotals="1" fieldPosition="0"/>
    </format>
  </formats>
  <chartFormats count="1">
    <chartFormat chart="18"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E29154-80BA-4135-8855-73238CFE18F8}" name="PivotTable12" cacheId="2657" applyNumberFormats="0" applyBorderFormats="0" applyFontFormats="0" applyPatternFormats="0" applyAlignmentFormats="0" applyWidthHeightFormats="1" dataCaption="Values" tag="918f7a58-6764-4548-8301-141ee2a37f6e" updatedVersion="7" minRefreshableVersion="3" subtotalHiddenItems="1" itemPrintTitles="1" createdVersion="5" indent="0" outline="1" outlineData="1" multipleFieldFilters="0" chartFormat="16">
  <location ref="A57:B60"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2">
    <format dxfId="289">
      <pivotArea outline="0" collapsedLevelsAreSubtotals="1" fieldPosition="0"/>
    </format>
    <format dxfId="288">
      <pivotArea collapsedLevelsAreSubtotals="1" fieldPosition="0">
        <references count="1">
          <reference field="1" count="0"/>
        </references>
      </pivotArea>
    </format>
  </formats>
  <chartFormats count="6">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28E171-D769-402F-9D95-9EF23049FAF5}" name="PivotTable11" cacheId="2654" applyNumberFormats="0" applyBorderFormats="0" applyFontFormats="0" applyPatternFormats="0" applyAlignmentFormats="0" applyWidthHeightFormats="1" dataCaption="Values" tag="ae2a27d4-176b-4511-9391-0fc4d8a95ae9" updatedVersion="7" minRefreshableVersion="3" subtotalHiddenItems="1" itemPrintTitles="1" createdVersion="5" indent="0" outline="1" outlineData="1" multipleFieldFilters="0" chartFormat="11">
  <location ref="A50:B5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2">
    <format dxfId="286">
      <pivotArea outline="0" collapsedLevelsAreSubtotals="1" fieldPosition="0"/>
    </format>
    <format dxfId="287">
      <pivotArea collapsedLevelsAreSubtotals="1" fieldPosition="0">
        <references count="1">
          <reference field="1" count="0"/>
        </references>
      </pivotArea>
    </format>
  </formats>
  <chartFormats count="4">
    <chartFormat chart="4"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DC39BD9-E2E8-4128-AB0E-2A4B2D088F59}" name="PivotTable10" cacheId="2651" applyNumberFormats="0" applyBorderFormats="0" applyFontFormats="0" applyPatternFormats="0" applyAlignmentFormats="0" applyWidthHeightFormats="1" dataCaption="Values" tag="54c874ca-4135-4726-801c-25d546a8179a" updatedVersion="7" minRefreshableVersion="3" subtotalHiddenItems="1" itemPrintTitles="1" createdVersion="5" indent="0" outline="1" outlineData="1" multipleFieldFilters="0" chartFormat="4">
  <location ref="A35:B4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3">
    <format dxfId="290">
      <pivotArea outline="0" collapsedLevelsAreSubtotals="1" fieldPosition="0"/>
    </format>
    <format dxfId="291">
      <pivotArea collapsedLevelsAreSubtotals="1" fieldPosition="0">
        <references count="1">
          <reference field="1" count="1">
            <x v="0"/>
          </reference>
        </references>
      </pivotArea>
    </format>
    <format dxfId="292">
      <pivotArea collapsedLevelsAreSubtotals="1" fieldPosition="0">
        <references count="1">
          <reference field="1" count="7">
            <x v="1"/>
            <x v="2"/>
            <x v="3"/>
            <x v="4"/>
            <x v="5"/>
            <x v="6"/>
            <x v="7"/>
          </reference>
        </references>
      </pivotArea>
    </format>
  </formats>
  <chartFormats count="1">
    <chartFormat chart="3"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89EADB-8D93-4475-96E7-A650090A6793}" name="PivotTable9" cacheId="2678" applyNumberFormats="0" applyBorderFormats="0" applyFontFormats="0" applyPatternFormats="0" applyAlignmentFormats="0" applyWidthHeightFormats="1" dataCaption="Values" tag="a8b46f94-a330-4032-a7ca-d4807ec4769c" updatedVersion="7" minRefreshableVersion="3" subtotalHiddenItems="1" itemPrintTitles="1" createdVersion="5" indent="0" outline="1" outlineData="1" multipleFieldFilters="0" chartFormat="1">
  <location ref="A21:C24"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3">
    <format dxfId="293">
      <pivotArea outline="0" collapsedLevelsAreSubtotals="1" fieldPosition="0"/>
    </format>
    <format dxfId="294">
      <pivotArea collapsedLevelsAreSubtotals="1" fieldPosition="0">
        <references count="1">
          <reference field="1" count="0"/>
        </references>
      </pivotArea>
    </format>
    <format dxfId="29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FC90D32-04EE-411E-AF08-411B61E18ADF}" name="PivotTable8" cacheId="2675" applyNumberFormats="0" applyBorderFormats="0" applyFontFormats="0" applyPatternFormats="0" applyAlignmentFormats="0" applyWidthHeightFormats="1" dataCaption="Values" tag="3165b722-5855-40a6-a343-0e5392bf0a90" updatedVersion="7" minRefreshableVersion="3" subtotalHiddenItems="1" itemPrintTitles="1" createdVersion="5" indent="0" outline="1" outlineData="1" multipleFieldFilters="0" chartFormat="46">
  <location ref="L4:M14"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296">
      <pivotArea collapsedLevelsAreSubtotals="1" fieldPosition="0">
        <references count="1">
          <reference field="0" count="0"/>
        </references>
      </pivotArea>
    </format>
  </formats>
  <chartFormats count="2">
    <chartFormat chart="42" format="5" series="1">
      <pivotArea type="data" outline="0" fieldPosition="0">
        <references count="1">
          <reference field="4294967294" count="1" selected="0">
            <x v="0"/>
          </reference>
        </references>
      </pivotArea>
    </chartFormat>
    <chartFormat chart="45"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6275EF-3C0E-4210-B028-6A27D673F75B}" name="PivotTable7" cacheId="2672" applyNumberFormats="0" applyBorderFormats="0" applyFontFormats="0" applyPatternFormats="0" applyAlignmentFormats="0" applyWidthHeightFormats="1" dataCaption="Values" tag="eda53c9b-fc49-4809-b207-b42ae4c12535" updatedVersion="7" minRefreshableVersion="3" subtotalHiddenItems="1" itemPrintTitles="1" createdVersion="5" indent="0" outline="1" outlineData="1" multipleFieldFilters="0" chartFormat="40">
  <location ref="H4:I14"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Waittime" fld="2" subtotal="average" baseField="0" baseItem="0"/>
  </dataFields>
  <formats count="1">
    <format dxfId="297">
      <pivotArea collapsedLevelsAreSubtotals="1" fieldPosition="0">
        <references count="1">
          <reference field="0" count="0"/>
        </references>
      </pivotArea>
    </format>
  </formats>
  <chartFormats count="2">
    <chartFormat chart="28" format="9" series="1">
      <pivotArea type="data" outline="0" fieldPosition="0">
        <references count="1">
          <reference field="4294967294" count="1" selected="0">
            <x v="0"/>
          </reference>
        </references>
      </pivotArea>
    </chartFormat>
    <chartFormat chart="37" format="10"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E72E1A9-AF2A-4A72-BDAB-0BAA3D70F060}" name="PivotTable5" cacheId="2669" applyNumberFormats="0" applyBorderFormats="0" applyFontFormats="0" applyPatternFormats="0" applyAlignmentFormats="0" applyWidthHeightFormats="1" dataCaption="Values" tag="6d54c936-9339-46f8-b005-b1681dcafc9b" updatedVersion="7" minRefreshableVersion="3" subtotalHiddenItems="1" itemPrintTitles="1" createdVersion="5" indent="0" outline="1" outlineData="1" multipleFieldFilters="0" chartFormat="25">
  <location ref="D4:E14" firstHeaderRow="1" firstDataRow="1" firstDataCol="1"/>
  <pivotFields count="4">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0">
    <i>
      <x/>
    </i>
    <i>
      <x v="1"/>
    </i>
    <i>
      <x v="2"/>
    </i>
    <i>
      <x v="3"/>
    </i>
    <i>
      <x v="4"/>
    </i>
    <i>
      <x v="5"/>
    </i>
    <i>
      <x v="6"/>
    </i>
    <i>
      <x v="7"/>
    </i>
    <i>
      <x v="8"/>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15">
    <chartFormat chart="22" format="19" series="1">
      <pivotArea type="data" outline="0" fieldPosition="0">
        <references count="1">
          <reference field="4294967294" count="1" selected="0">
            <x v="0"/>
          </reference>
        </references>
      </pivotArea>
    </chartFormat>
    <chartFormat chart="23" format="21" series="1">
      <pivotArea type="data" outline="0" fieldPosition="0">
        <references count="1">
          <reference field="4294967294" count="1" selected="0">
            <x v="0"/>
          </reference>
        </references>
      </pivotArea>
    </chartFormat>
    <chartFormat chart="24" format="22" series="1">
      <pivotArea type="data" outline="0" fieldPosition="0">
        <references count="1">
          <reference field="4294967294" count="1" selected="0">
            <x v="0"/>
          </reference>
        </references>
      </pivotArea>
    </chartFormat>
    <chartFormat chart="24" format="23">
      <pivotArea type="data" outline="0" fieldPosition="0">
        <references count="2">
          <reference field="4294967294" count="1" selected="0">
            <x v="0"/>
          </reference>
          <reference field="1" count="1" selected="0">
            <x v="9"/>
          </reference>
        </references>
      </pivotArea>
    </chartFormat>
    <chartFormat chart="24" format="24">
      <pivotArea type="data" outline="0" fieldPosition="0">
        <references count="2">
          <reference field="4294967294" count="1" selected="0">
            <x v="0"/>
          </reference>
          <reference field="1" count="1" selected="0">
            <x v="10"/>
          </reference>
        </references>
      </pivotArea>
    </chartFormat>
    <chartFormat chart="24" format="25">
      <pivotArea type="data" outline="0" fieldPosition="0">
        <references count="2">
          <reference field="4294967294" count="1" selected="0">
            <x v="0"/>
          </reference>
          <reference field="1" count="1" selected="0">
            <x v="11"/>
          </reference>
        </references>
      </pivotArea>
    </chartFormat>
    <chartFormat chart="24" format="26">
      <pivotArea type="data" outline="0" fieldPosition="0">
        <references count="2">
          <reference field="4294967294" count="1" selected="0">
            <x v="0"/>
          </reference>
          <reference field="1" count="1" selected="0">
            <x v="12"/>
          </reference>
        </references>
      </pivotArea>
    </chartFormat>
    <chartFormat chart="24" format="27">
      <pivotArea type="data" outline="0" fieldPosition="0">
        <references count="2">
          <reference field="4294967294" count="1" selected="0">
            <x v="0"/>
          </reference>
          <reference field="1" count="1" selected="0">
            <x v="13"/>
          </reference>
        </references>
      </pivotArea>
    </chartFormat>
    <chartFormat chart="24" format="28">
      <pivotArea type="data" outline="0" fieldPosition="0">
        <references count="2">
          <reference field="4294967294" count="1" selected="0">
            <x v="0"/>
          </reference>
          <reference field="1" count="1" selected="0">
            <x v="14"/>
          </reference>
        </references>
      </pivotArea>
    </chartFormat>
    <chartFormat chart="24" format="29">
      <pivotArea type="data" outline="0" fieldPosition="0">
        <references count="2">
          <reference field="4294967294" count="1" selected="0">
            <x v="0"/>
          </reference>
          <reference field="1" count="1" selected="0">
            <x v="15"/>
          </reference>
        </references>
      </pivotArea>
    </chartFormat>
    <chartFormat chart="24" format="30">
      <pivotArea type="data" outline="0" fieldPosition="0">
        <references count="2">
          <reference field="4294967294" count="1" selected="0">
            <x v="0"/>
          </reference>
          <reference field="1" count="1" selected="0">
            <x v="16"/>
          </reference>
        </references>
      </pivotArea>
    </chartFormat>
    <chartFormat chart="24" format="31">
      <pivotArea type="data" outline="0" fieldPosition="0">
        <references count="2">
          <reference field="4294967294" count="1" selected="0">
            <x v="0"/>
          </reference>
          <reference field="1" count="1" selected="0">
            <x v="17"/>
          </reference>
        </references>
      </pivotArea>
    </chartFormat>
    <chartFormat chart="24" format="32">
      <pivotArea type="data" outline="0" fieldPosition="0">
        <references count="2">
          <reference field="4294967294" count="1" selected="0">
            <x v="0"/>
          </reference>
          <reference field="1" count="1" selected="0">
            <x v="18"/>
          </reference>
        </references>
      </pivotArea>
    </chartFormat>
    <chartFormat chart="24" format="33">
      <pivotArea type="data" outline="0" fieldPosition="0">
        <references count="2">
          <reference field="4294967294" count="1" selected="0">
            <x v="0"/>
          </reference>
          <reference field="1" count="1" selected="0">
            <x v="19"/>
          </reference>
        </references>
      </pivotArea>
    </chartFormat>
    <chartFormat chart="24" format="34">
      <pivotArea type="data" outline="0" fieldPosition="0">
        <references count="2">
          <reference field="4294967294" count="1" selected="0">
            <x v="0"/>
          </reference>
          <reference field="1" count="1" selected="0">
            <x v="20"/>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F8D0720-D896-4587-8429-7C7D9FC99974}" name="PivotTable4" cacheId="2666" applyNumberFormats="0" applyBorderFormats="0" applyFontFormats="0" applyPatternFormats="0" applyAlignmentFormats="0" applyWidthHeightFormats="1" dataCaption="Values" tag="a9a7ee5a-0fb8-458d-95db-5c14355080bb" updatedVersion="7"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98">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5633D9B-D83E-4F7B-A3BC-CC726E08C47D}" name="PivotTable3" cacheId="2663" applyNumberFormats="0" applyBorderFormats="0" applyFontFormats="0" applyPatternFormats="0" applyAlignmentFormats="0" applyWidthHeightFormats="1" dataCaption="Values" tag="cae9ef3d-cc42-4ade-ba61-e7a1a7085bdc" updatedVersion="7" minRefreshableVersion="3" subtotalHiddenItems="1" itemPrintTitles="1" createdVersion="5"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99">
      <pivotArea outline="0" collapsedLevelsAreSubtotals="1" fieldPosition="0"/>
    </format>
  </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EF9EF9-AB16-4103-A170-AA8AD7BA3418}" name="PivotTable1" cacheId="2648" applyNumberFormats="0" applyBorderFormats="0" applyFontFormats="0" applyPatternFormats="0" applyAlignmentFormats="0" applyWidthHeightFormats="1" dataCaption="Values" tag="d9779159-fddc-480d-b776-c1286a436b02" updatedVersion="7"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85F1E2B7-F5A6-4BF4-9548-E6DA05BABACC}" sourceName="[Calender_Table].[Date (Month)]">
  <pivotTables>
    <pivotTable tabId="1" name="PivotTable5"/>
    <pivotTable tabId="1" name="PivotTable1"/>
    <pivotTable tabId="1" name="PivotTable3"/>
    <pivotTable tabId="1" name="PivotTable4"/>
    <pivotTable tabId="1" name="PivotTable7"/>
    <pivotTable tabId="1" name="PivotTable8"/>
    <pivotTable tabId="1" name="PivotTable9"/>
    <pivotTable tabId="1" name="PivotTable10"/>
    <pivotTable tabId="1" name="PivotTable11"/>
    <pivotTable tabId="1" name="PivotTable12"/>
    <pivotTable tabId="1" name="PivotTable13"/>
    <pivotTable tabId="1" name="PivotTable14"/>
  </pivotTables>
  <data>
    <olap pivotCacheId="2110546927">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4DD1DBBF-716B-4899-983E-0C1725CB72CD}" sourceName="[Calender_Table].[Date (Year)]">
  <pivotTables>
    <pivotTable tabId="1" name="PivotTable14"/>
    <pivotTable tabId="1" name="PivotTable1"/>
    <pivotTable tabId="1" name="PivotTable10"/>
    <pivotTable tabId="1" name="PivotTable11"/>
    <pivotTable tabId="1" name="PivotTable12"/>
    <pivotTable tabId="1" name="PivotTable13"/>
    <pivotTable tabId="1" name="PivotTable3"/>
    <pivotTable tabId="1" name="PivotTable4"/>
    <pivotTable tabId="1" name="PivotTable5"/>
    <pivotTable tabId="1" name="PivotTable7"/>
    <pivotTable tabId="1" name="PivotTable8"/>
    <pivotTable tabId="1" name="PivotTable9"/>
  </pivotTables>
  <data>
    <olap pivotCacheId="2110546927">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B00269C2-0B60-4D4D-BE8F-803648CC52B2}" cache="Slicer_Date__Month" caption="Date (Month)" showCaption="0" level="1" style="MY_Style" rowHeight="182880"/>
  <slicer name="Date (Year)" xr10:uid="{0BB5C80D-45FD-4833-9C9E-BA5B648ACFFA}" cache="Slicer_Date__Year" caption="Date (Year)" columnCount="2" showCaption="0" level="1" style="MY_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E591F-1542-42D1-BA79-050DFF9E9EC7}">
  <dimension ref="A3:M81"/>
  <sheetViews>
    <sheetView topLeftCell="A64" workbookViewId="0">
      <selection activeCell="A80" sqref="A80:A81"/>
    </sheetView>
  </sheetViews>
  <sheetFormatPr defaultRowHeight="14.4" x14ac:dyDescent="0.3"/>
  <cols>
    <col min="1" max="1" width="14.21875" customWidth="1"/>
    <col min="2" max="2" width="9.33203125" customWidth="1"/>
    <col min="3" max="3" width="10.88671875" customWidth="1"/>
    <col min="4" max="4" width="20.33203125" customWidth="1"/>
    <col min="5" max="5" width="23.88671875" bestFit="1" customWidth="1"/>
    <col min="8" max="8" width="12.5546875" bestFit="1" customWidth="1"/>
    <col min="9" max="9" width="23.88671875" bestFit="1" customWidth="1"/>
    <col min="12" max="12" width="12.5546875" bestFit="1" customWidth="1"/>
    <col min="13" max="13" width="32.44140625" bestFit="1" customWidth="1"/>
  </cols>
  <sheetData>
    <row r="3" spans="1:13" x14ac:dyDescent="0.3">
      <c r="A3" t="s">
        <v>1</v>
      </c>
      <c r="D3" t="s">
        <v>16</v>
      </c>
      <c r="H3" t="s">
        <v>17</v>
      </c>
      <c r="L3" t="s">
        <v>18</v>
      </c>
    </row>
    <row r="4" spans="1:13" x14ac:dyDescent="0.3">
      <c r="A4" t="s">
        <v>0</v>
      </c>
      <c r="D4" s="2" t="s">
        <v>4</v>
      </c>
      <c r="E4" t="s">
        <v>0</v>
      </c>
      <c r="H4" s="2" t="s">
        <v>4</v>
      </c>
      <c r="I4" t="s">
        <v>2</v>
      </c>
      <c r="L4" s="2" t="s">
        <v>4</v>
      </c>
      <c r="M4" t="s">
        <v>3</v>
      </c>
    </row>
    <row r="5" spans="1:13" x14ac:dyDescent="0.3">
      <c r="A5" s="1">
        <v>129</v>
      </c>
      <c r="D5" s="5" t="s">
        <v>7</v>
      </c>
      <c r="E5" s="1">
        <v>13</v>
      </c>
      <c r="H5" s="5" t="s">
        <v>7</v>
      </c>
      <c r="I5" s="3">
        <v>29.46153846153846</v>
      </c>
      <c r="L5" s="5" t="s">
        <v>7</v>
      </c>
      <c r="M5" s="3">
        <v>7.75</v>
      </c>
    </row>
    <row r="6" spans="1:13" x14ac:dyDescent="0.3">
      <c r="D6" s="5" t="s">
        <v>8</v>
      </c>
      <c r="E6" s="1">
        <v>16</v>
      </c>
      <c r="H6" s="5" t="s">
        <v>8</v>
      </c>
      <c r="I6" s="3">
        <v>34.25</v>
      </c>
      <c r="L6" s="5" t="s">
        <v>8</v>
      </c>
      <c r="M6" s="3">
        <v>3.3333333333333335</v>
      </c>
    </row>
    <row r="7" spans="1:13" x14ac:dyDescent="0.3">
      <c r="D7" s="5" t="s">
        <v>9</v>
      </c>
      <c r="E7" s="1">
        <v>17</v>
      </c>
      <c r="H7" s="5" t="s">
        <v>9</v>
      </c>
      <c r="I7" s="3">
        <v>34.941176470588232</v>
      </c>
      <c r="L7" s="5" t="s">
        <v>9</v>
      </c>
      <c r="M7" s="3">
        <v>5.333333333333333</v>
      </c>
    </row>
    <row r="8" spans="1:13" x14ac:dyDescent="0.3">
      <c r="D8" s="5" t="s">
        <v>10</v>
      </c>
      <c r="E8" s="1">
        <v>9</v>
      </c>
      <c r="H8" s="5" t="s">
        <v>10</v>
      </c>
      <c r="I8" s="3">
        <v>32.444444444444443</v>
      </c>
      <c r="L8" s="5" t="s">
        <v>10</v>
      </c>
      <c r="M8" s="3">
        <v>6.5</v>
      </c>
    </row>
    <row r="9" spans="1:13" x14ac:dyDescent="0.3">
      <c r="A9" t="s">
        <v>2</v>
      </c>
      <c r="D9" s="5" t="s">
        <v>11</v>
      </c>
      <c r="E9" s="1">
        <v>15</v>
      </c>
      <c r="H9" s="5" t="s">
        <v>11</v>
      </c>
      <c r="I9" s="3">
        <v>38.533333333333331</v>
      </c>
      <c r="L9" s="5" t="s">
        <v>11</v>
      </c>
      <c r="M9" s="3">
        <v>4</v>
      </c>
    </row>
    <row r="10" spans="1:13" x14ac:dyDescent="0.3">
      <c r="A10" s="3">
        <v>33.844961240310077</v>
      </c>
      <c r="D10" s="5" t="s">
        <v>12</v>
      </c>
      <c r="E10" s="1">
        <v>18</v>
      </c>
      <c r="H10" s="5" t="s">
        <v>12</v>
      </c>
      <c r="I10" s="3">
        <v>34.777777777777779</v>
      </c>
      <c r="L10" s="5" t="s">
        <v>12</v>
      </c>
      <c r="M10" s="3">
        <v>5.8</v>
      </c>
    </row>
    <row r="11" spans="1:13" x14ac:dyDescent="0.3">
      <c r="D11" s="5" t="s">
        <v>13</v>
      </c>
      <c r="E11" s="1">
        <v>14</v>
      </c>
      <c r="H11" s="5" t="s">
        <v>13</v>
      </c>
      <c r="I11" s="3">
        <v>33.357142857142854</v>
      </c>
      <c r="L11" s="5" t="s">
        <v>13</v>
      </c>
      <c r="M11" s="3">
        <v>3.8</v>
      </c>
    </row>
    <row r="12" spans="1:13" x14ac:dyDescent="0.3">
      <c r="D12" s="5" t="s">
        <v>14</v>
      </c>
      <c r="E12" s="1">
        <v>12</v>
      </c>
      <c r="H12" s="5" t="s">
        <v>14</v>
      </c>
      <c r="I12" s="3">
        <v>28.916666666666668</v>
      </c>
      <c r="L12" s="5" t="s">
        <v>14</v>
      </c>
      <c r="M12" s="3">
        <v>4.666666666666667</v>
      </c>
    </row>
    <row r="13" spans="1:13" x14ac:dyDescent="0.3">
      <c r="D13" s="5" t="s">
        <v>15</v>
      </c>
      <c r="E13" s="1">
        <v>15</v>
      </c>
      <c r="H13" s="5" t="s">
        <v>15</v>
      </c>
      <c r="I13" s="3">
        <v>35.4</v>
      </c>
      <c r="L13" s="5" t="s">
        <v>15</v>
      </c>
      <c r="M13" s="3">
        <v>4.4000000000000004</v>
      </c>
    </row>
    <row r="14" spans="1:13" x14ac:dyDescent="0.3">
      <c r="A14" t="s">
        <v>3</v>
      </c>
      <c r="D14" s="5" t="s">
        <v>5</v>
      </c>
      <c r="E14" s="1">
        <v>129</v>
      </c>
      <c r="H14" s="5" t="s">
        <v>5</v>
      </c>
      <c r="I14" s="1">
        <v>33.844961240310077</v>
      </c>
      <c r="L14" s="5" t="s">
        <v>5</v>
      </c>
      <c r="M14" s="1">
        <v>4.9047619047619051</v>
      </c>
    </row>
    <row r="15" spans="1:13" x14ac:dyDescent="0.3">
      <c r="A15" s="3">
        <v>4.9047619047619051</v>
      </c>
    </row>
    <row r="21" spans="1:4" x14ac:dyDescent="0.3">
      <c r="A21" s="2" t="s">
        <v>4</v>
      </c>
      <c r="B21" t="s">
        <v>21</v>
      </c>
      <c r="C21" t="s">
        <v>22</v>
      </c>
    </row>
    <row r="22" spans="1:4" x14ac:dyDescent="0.3">
      <c r="A22" s="5" t="s">
        <v>19</v>
      </c>
      <c r="B22" s="7">
        <v>64</v>
      </c>
      <c r="C22" s="8">
        <v>0.49612403100775193</v>
      </c>
    </row>
    <row r="23" spans="1:4" x14ac:dyDescent="0.3">
      <c r="A23" s="5" t="s">
        <v>20</v>
      </c>
      <c r="B23" s="7">
        <v>65</v>
      </c>
      <c r="C23" s="8">
        <v>0.50387596899224807</v>
      </c>
    </row>
    <row r="24" spans="1:4" x14ac:dyDescent="0.3">
      <c r="A24" s="5" t="s">
        <v>5</v>
      </c>
      <c r="B24" s="3">
        <v>129</v>
      </c>
      <c r="C24" s="8">
        <v>1</v>
      </c>
    </row>
    <row r="29" spans="1:4" x14ac:dyDescent="0.3">
      <c r="A29" s="9" t="s">
        <v>23</v>
      </c>
      <c r="B29" s="10" t="s">
        <v>25</v>
      </c>
      <c r="C29" s="10" t="s">
        <v>24</v>
      </c>
      <c r="D29" s="9"/>
    </row>
    <row r="30" spans="1:4" x14ac:dyDescent="0.3">
      <c r="A30" s="11" t="str">
        <f>A23</f>
        <v>Not admitted</v>
      </c>
      <c r="B30" s="12">
        <f t="shared" ref="B30:C31" si="0">B23</f>
        <v>65</v>
      </c>
      <c r="C30" s="13">
        <f t="shared" si="0"/>
        <v>0.50387596899224807</v>
      </c>
      <c r="D30" s="11"/>
    </row>
    <row r="31" spans="1:4" x14ac:dyDescent="0.3">
      <c r="A31" s="11" t="str">
        <f>A22</f>
        <v>Admitted</v>
      </c>
      <c r="B31" s="12">
        <f t="shared" ref="B31:C31" si="1">B22</f>
        <v>64</v>
      </c>
      <c r="C31" s="13">
        <f t="shared" si="1"/>
        <v>0.49612403100775193</v>
      </c>
      <c r="D31" s="11"/>
    </row>
    <row r="34" spans="1:2" x14ac:dyDescent="0.3">
      <c r="A34" t="s">
        <v>37</v>
      </c>
    </row>
    <row r="35" spans="1:2" x14ac:dyDescent="0.3">
      <c r="A35" s="2" t="s">
        <v>4</v>
      </c>
      <c r="B35" t="s">
        <v>34</v>
      </c>
    </row>
    <row r="36" spans="1:2" x14ac:dyDescent="0.3">
      <c r="A36" s="5" t="s">
        <v>26</v>
      </c>
      <c r="B36" s="7">
        <v>13</v>
      </c>
    </row>
    <row r="37" spans="1:2" x14ac:dyDescent="0.3">
      <c r="A37" s="5" t="s">
        <v>27</v>
      </c>
      <c r="B37" s="7">
        <v>16</v>
      </c>
    </row>
    <row r="38" spans="1:2" x14ac:dyDescent="0.3">
      <c r="A38" s="5" t="s">
        <v>28</v>
      </c>
      <c r="B38" s="7">
        <v>20</v>
      </c>
    </row>
    <row r="39" spans="1:2" x14ac:dyDescent="0.3">
      <c r="A39" s="5" t="s">
        <v>29</v>
      </c>
      <c r="B39" s="7">
        <v>14</v>
      </c>
    </row>
    <row r="40" spans="1:2" x14ac:dyDescent="0.3">
      <c r="A40" s="5" t="s">
        <v>30</v>
      </c>
      <c r="B40" s="7">
        <v>20</v>
      </c>
    </row>
    <row r="41" spans="1:2" x14ac:dyDescent="0.3">
      <c r="A41" s="5" t="s">
        <v>31</v>
      </c>
      <c r="B41" s="7">
        <v>16</v>
      </c>
    </row>
    <row r="42" spans="1:2" x14ac:dyDescent="0.3">
      <c r="A42" s="5" t="s">
        <v>32</v>
      </c>
      <c r="B42" s="7">
        <v>15</v>
      </c>
    </row>
    <row r="43" spans="1:2" x14ac:dyDescent="0.3">
      <c r="A43" s="5" t="s">
        <v>33</v>
      </c>
      <c r="B43" s="7">
        <v>15</v>
      </c>
    </row>
    <row r="44" spans="1:2" x14ac:dyDescent="0.3">
      <c r="A44" s="5" t="s">
        <v>5</v>
      </c>
      <c r="B44" s="3">
        <v>129</v>
      </c>
    </row>
    <row r="49" spans="1:2" x14ac:dyDescent="0.3">
      <c r="A49" t="s">
        <v>38</v>
      </c>
    </row>
    <row r="50" spans="1:2" x14ac:dyDescent="0.3">
      <c r="A50" s="2" t="s">
        <v>4</v>
      </c>
      <c r="B50" t="s">
        <v>39</v>
      </c>
    </row>
    <row r="51" spans="1:2" x14ac:dyDescent="0.3">
      <c r="A51" s="5" t="s">
        <v>35</v>
      </c>
      <c r="B51" s="7">
        <v>74</v>
      </c>
    </row>
    <row r="52" spans="1:2" x14ac:dyDescent="0.3">
      <c r="A52" s="5" t="s">
        <v>36</v>
      </c>
      <c r="B52" s="7">
        <v>55</v>
      </c>
    </row>
    <row r="53" spans="1:2" x14ac:dyDescent="0.3">
      <c r="A53" s="5" t="s">
        <v>5</v>
      </c>
      <c r="B53" s="3">
        <v>129</v>
      </c>
    </row>
    <row r="56" spans="1:2" x14ac:dyDescent="0.3">
      <c r="A56" s="5" t="s">
        <v>43</v>
      </c>
    </row>
    <row r="57" spans="1:2" x14ac:dyDescent="0.3">
      <c r="A57" s="2" t="s">
        <v>4</v>
      </c>
      <c r="B57" t="s">
        <v>42</v>
      </c>
    </row>
    <row r="58" spans="1:2" x14ac:dyDescent="0.3">
      <c r="A58" s="5" t="s">
        <v>40</v>
      </c>
      <c r="B58" s="7">
        <v>59</v>
      </c>
    </row>
    <row r="59" spans="1:2" x14ac:dyDescent="0.3">
      <c r="A59" s="5" t="s">
        <v>41</v>
      </c>
      <c r="B59" s="7">
        <v>70</v>
      </c>
    </row>
    <row r="60" spans="1:2" x14ac:dyDescent="0.3">
      <c r="A60" s="5" t="s">
        <v>5</v>
      </c>
      <c r="B60" s="3">
        <v>129</v>
      </c>
    </row>
    <row r="64" spans="1:2" x14ac:dyDescent="0.3">
      <c r="A64" t="s">
        <v>53</v>
      </c>
    </row>
    <row r="65" spans="1:2" x14ac:dyDescent="0.3">
      <c r="A65" s="2" t="s">
        <v>4</v>
      </c>
      <c r="B65" t="s">
        <v>52</v>
      </c>
    </row>
    <row r="66" spans="1:2" x14ac:dyDescent="0.3">
      <c r="A66" s="5" t="s">
        <v>51</v>
      </c>
      <c r="B66" s="3">
        <v>2</v>
      </c>
    </row>
    <row r="67" spans="1:2" x14ac:dyDescent="0.3">
      <c r="A67" s="5" t="s">
        <v>44</v>
      </c>
      <c r="B67" s="3">
        <v>2</v>
      </c>
    </row>
    <row r="68" spans="1:2" x14ac:dyDescent="0.3">
      <c r="A68" s="5" t="s">
        <v>47</v>
      </c>
      <c r="B68" s="3">
        <v>3</v>
      </c>
    </row>
    <row r="69" spans="1:2" x14ac:dyDescent="0.3">
      <c r="A69" s="5" t="s">
        <v>50</v>
      </c>
      <c r="B69" s="3">
        <v>5</v>
      </c>
    </row>
    <row r="70" spans="1:2" x14ac:dyDescent="0.3">
      <c r="A70" s="5" t="s">
        <v>45</v>
      </c>
      <c r="B70" s="3">
        <v>6</v>
      </c>
    </row>
    <row r="71" spans="1:2" x14ac:dyDescent="0.3">
      <c r="A71" s="5" t="s">
        <v>49</v>
      </c>
      <c r="B71" s="3">
        <v>11</v>
      </c>
    </row>
    <row r="72" spans="1:2" x14ac:dyDescent="0.3">
      <c r="A72" s="5" t="s">
        <v>46</v>
      </c>
      <c r="B72" s="3">
        <v>27</v>
      </c>
    </row>
    <row r="73" spans="1:2" x14ac:dyDescent="0.3">
      <c r="A73" s="5" t="s">
        <v>48</v>
      </c>
      <c r="B73" s="3">
        <v>73</v>
      </c>
    </row>
    <row r="74" spans="1:2" x14ac:dyDescent="0.3">
      <c r="A74" s="5" t="s">
        <v>5</v>
      </c>
      <c r="B74" s="3">
        <v>129</v>
      </c>
    </row>
    <row r="79" spans="1:2" x14ac:dyDescent="0.3">
      <c r="A79" s="2" t="s">
        <v>4</v>
      </c>
    </row>
    <row r="80" spans="1:2" x14ac:dyDescent="0.3">
      <c r="A80" s="5" t="s">
        <v>6</v>
      </c>
    </row>
    <row r="81" spans="1:1" x14ac:dyDescent="0.3">
      <c r="A81" s="5" t="s">
        <v>5</v>
      </c>
    </row>
  </sheetData>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0C8F2-7C45-4B47-9B03-93DEC1B05378}">
  <dimension ref="A1"/>
  <sheetViews>
    <sheetView tabSelected="1" view="pageBreakPreview" zoomScale="120" zoomScaleNormal="106" zoomScaleSheetLayoutView="120" workbookViewId="0">
      <selection activeCell="T10" sqref="T10"/>
    </sheetView>
  </sheetViews>
  <sheetFormatPr defaultRowHeight="14.4" x14ac:dyDescent="0.3"/>
  <cols>
    <col min="1" max="7" width="8.88671875" style="4"/>
    <col min="8" max="8" width="9" style="4" customWidth="1"/>
    <col min="9" max="16384" width="8.88671875" style="4"/>
  </cols>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CE3DD7-1580-4C22-8970-01DF8DC456CE}">
  <dimension ref="A1:O27"/>
  <sheetViews>
    <sheetView workbookViewId="0">
      <selection activeCell="S10" sqref="S10"/>
    </sheetView>
  </sheetViews>
  <sheetFormatPr defaultRowHeight="14.4" x14ac:dyDescent="0.3"/>
  <sheetData>
    <row r="1" spans="1:15" x14ac:dyDescent="0.3">
      <c r="A1" s="6"/>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row r="7" spans="1:15" x14ac:dyDescent="0.3">
      <c r="A7" s="6"/>
      <c r="B7" s="6"/>
      <c r="C7" s="6"/>
      <c r="D7" s="6"/>
      <c r="E7" s="6"/>
      <c r="F7" s="6"/>
      <c r="G7" s="6"/>
      <c r="H7" s="6"/>
      <c r="I7" s="6"/>
      <c r="J7" s="6"/>
      <c r="K7" s="6"/>
      <c r="L7" s="6"/>
      <c r="M7" s="6"/>
      <c r="N7" s="6"/>
      <c r="O7" s="6"/>
    </row>
    <row r="8" spans="1:15" x14ac:dyDescent="0.3">
      <c r="A8" s="6"/>
      <c r="B8" s="6"/>
      <c r="C8" s="6"/>
      <c r="D8" s="6"/>
      <c r="E8" s="6"/>
      <c r="F8" s="6"/>
      <c r="G8" s="6"/>
      <c r="H8" s="6"/>
      <c r="I8" s="6"/>
      <c r="J8" s="6"/>
      <c r="K8" s="6"/>
      <c r="L8" s="6"/>
      <c r="M8" s="6"/>
      <c r="N8" s="6"/>
      <c r="O8" s="6"/>
    </row>
    <row r="9" spans="1:15" x14ac:dyDescent="0.3">
      <c r="A9" s="6"/>
      <c r="B9" s="6"/>
      <c r="C9" s="6"/>
      <c r="D9" s="6"/>
      <c r="E9" s="6"/>
      <c r="F9" s="6"/>
      <c r="G9" s="6"/>
      <c r="H9" s="6"/>
      <c r="I9" s="6"/>
      <c r="J9" s="6"/>
      <c r="K9" s="6"/>
      <c r="L9" s="6"/>
      <c r="M9" s="6"/>
      <c r="N9" s="6"/>
      <c r="O9" s="6"/>
    </row>
    <row r="10" spans="1:15" x14ac:dyDescent="0.3">
      <c r="A10" s="6"/>
      <c r="B10" s="6"/>
      <c r="C10" s="6"/>
      <c r="D10" s="6"/>
      <c r="E10" s="6"/>
      <c r="F10" s="6"/>
      <c r="G10" s="6"/>
      <c r="H10" s="6"/>
      <c r="I10" s="6"/>
      <c r="J10" s="6"/>
      <c r="K10" s="6"/>
      <c r="L10" s="6"/>
      <c r="M10" s="6"/>
      <c r="N10" s="6"/>
      <c r="O10" s="6"/>
    </row>
    <row r="11" spans="1:15" x14ac:dyDescent="0.3">
      <c r="A11" s="6"/>
      <c r="B11" s="6"/>
      <c r="C11" s="6"/>
      <c r="D11" s="6"/>
      <c r="E11" s="6"/>
      <c r="F11" s="6"/>
      <c r="G11" s="6"/>
      <c r="H11" s="6"/>
      <c r="I11" s="6"/>
      <c r="J11" s="6"/>
      <c r="K11" s="6"/>
      <c r="L11" s="6"/>
      <c r="M11" s="6"/>
      <c r="N11" s="6"/>
      <c r="O11" s="6"/>
    </row>
    <row r="12" spans="1:15" x14ac:dyDescent="0.3">
      <c r="A12" s="6"/>
      <c r="B12" s="6"/>
      <c r="C12" s="6"/>
      <c r="D12" s="6"/>
      <c r="E12" s="6"/>
      <c r="F12" s="6"/>
      <c r="G12" s="6"/>
      <c r="H12" s="6"/>
      <c r="I12" s="6"/>
      <c r="J12" s="6"/>
      <c r="K12" s="6"/>
      <c r="L12" s="6"/>
      <c r="M12" s="6"/>
      <c r="N12" s="6"/>
      <c r="O12" s="6"/>
    </row>
    <row r="13" spans="1:15" x14ac:dyDescent="0.3">
      <c r="A13" s="6"/>
      <c r="B13" s="6"/>
      <c r="C13" s="6"/>
      <c r="D13" s="6"/>
      <c r="E13" s="6"/>
      <c r="F13" s="6"/>
      <c r="G13" s="6"/>
      <c r="H13" s="6"/>
      <c r="I13" s="6"/>
      <c r="J13" s="6"/>
      <c r="K13" s="6"/>
      <c r="L13" s="6"/>
      <c r="M13" s="6"/>
      <c r="N13" s="6"/>
      <c r="O13" s="6"/>
    </row>
    <row r="14" spans="1:15" x14ac:dyDescent="0.3">
      <c r="A14" s="6"/>
      <c r="B14" s="6"/>
      <c r="C14" s="6"/>
      <c r="D14" s="6"/>
      <c r="E14" s="6"/>
      <c r="F14" s="6"/>
      <c r="G14" s="6"/>
      <c r="H14" s="6"/>
      <c r="I14" s="6"/>
      <c r="J14" s="6"/>
      <c r="K14" s="6"/>
      <c r="L14" s="6"/>
      <c r="M14" s="6"/>
      <c r="N14" s="6"/>
      <c r="O14" s="6"/>
    </row>
    <row r="15" spans="1:15" x14ac:dyDescent="0.3">
      <c r="A15" s="6"/>
      <c r="B15" s="6"/>
      <c r="C15" s="6"/>
      <c r="D15" s="6"/>
      <c r="E15" s="6"/>
      <c r="F15" s="6"/>
      <c r="G15" s="6"/>
      <c r="H15" s="6"/>
      <c r="I15" s="6"/>
      <c r="J15" s="6"/>
      <c r="K15" s="6"/>
      <c r="L15" s="6"/>
      <c r="M15" s="6"/>
      <c r="N15" s="6"/>
      <c r="O15" s="6"/>
    </row>
    <row r="16" spans="1:15" x14ac:dyDescent="0.3">
      <c r="A16" s="6"/>
      <c r="B16" s="6"/>
      <c r="C16" s="6"/>
      <c r="D16" s="6"/>
      <c r="E16" s="6"/>
      <c r="F16" s="6"/>
      <c r="G16" s="6"/>
      <c r="H16" s="6"/>
      <c r="I16" s="6"/>
      <c r="J16" s="6"/>
      <c r="K16" s="6"/>
      <c r="L16" s="6"/>
      <c r="M16" s="6"/>
      <c r="N16" s="6"/>
      <c r="O16" s="6"/>
    </row>
    <row r="17" spans="1:15" x14ac:dyDescent="0.3">
      <c r="A17" s="6"/>
      <c r="B17" s="6"/>
      <c r="C17" s="6"/>
      <c r="D17" s="6"/>
      <c r="E17" s="6"/>
      <c r="F17" s="6"/>
      <c r="G17" s="6"/>
      <c r="H17" s="6"/>
      <c r="I17" s="6"/>
      <c r="J17" s="6"/>
      <c r="K17" s="6"/>
      <c r="L17" s="6"/>
      <c r="M17" s="6"/>
      <c r="N17" s="6"/>
      <c r="O17" s="6"/>
    </row>
    <row r="18" spans="1:15" x14ac:dyDescent="0.3">
      <c r="A18" s="6"/>
      <c r="B18" s="6"/>
      <c r="C18" s="6"/>
      <c r="D18" s="6"/>
      <c r="E18" s="6"/>
      <c r="F18" s="6"/>
      <c r="G18" s="6"/>
      <c r="H18" s="6"/>
      <c r="I18" s="6"/>
      <c r="J18" s="6"/>
      <c r="K18" s="6"/>
      <c r="L18" s="6"/>
      <c r="M18" s="6"/>
      <c r="N18" s="6"/>
      <c r="O18" s="6"/>
    </row>
    <row r="19" spans="1:15" x14ac:dyDescent="0.3">
      <c r="A19" s="6"/>
      <c r="B19" s="6"/>
      <c r="C19" s="6"/>
      <c r="D19" s="6"/>
      <c r="E19" s="6"/>
      <c r="F19" s="6"/>
      <c r="G19" s="6"/>
      <c r="H19" s="6"/>
      <c r="I19" s="6"/>
      <c r="J19" s="6"/>
      <c r="K19" s="6"/>
      <c r="L19" s="6"/>
      <c r="M19" s="6"/>
      <c r="N19" s="6"/>
      <c r="O19" s="6"/>
    </row>
    <row r="20" spans="1:15" x14ac:dyDescent="0.3">
      <c r="A20" s="6"/>
      <c r="B20" s="6"/>
      <c r="C20" s="6"/>
      <c r="D20" s="6"/>
      <c r="E20" s="6"/>
      <c r="F20" s="6"/>
      <c r="G20" s="6"/>
      <c r="H20" s="6"/>
      <c r="I20" s="6"/>
      <c r="J20" s="6"/>
      <c r="K20" s="6"/>
      <c r="L20" s="6"/>
      <c r="M20" s="6"/>
      <c r="N20" s="6"/>
      <c r="O20" s="6"/>
    </row>
    <row r="21" spans="1:15" x14ac:dyDescent="0.3">
      <c r="A21" s="6"/>
      <c r="B21" s="6"/>
      <c r="C21" s="6"/>
      <c r="D21" s="6"/>
      <c r="E21" s="6"/>
      <c r="F21" s="6"/>
      <c r="G21" s="6"/>
      <c r="H21" s="6"/>
      <c r="I21" s="6"/>
      <c r="J21" s="6"/>
      <c r="K21" s="6"/>
      <c r="L21" s="6"/>
      <c r="M21" s="6"/>
      <c r="N21" s="6"/>
      <c r="O21" s="6"/>
    </row>
    <row r="22" spans="1:15" x14ac:dyDescent="0.3">
      <c r="A22" s="6"/>
      <c r="B22" s="6"/>
      <c r="C22" s="6"/>
      <c r="D22" s="6"/>
      <c r="E22" s="6"/>
      <c r="F22" s="6"/>
      <c r="G22" s="6"/>
      <c r="H22" s="6"/>
      <c r="I22" s="6"/>
      <c r="J22" s="6"/>
      <c r="K22" s="6"/>
      <c r="L22" s="6"/>
      <c r="M22" s="6"/>
      <c r="N22" s="6"/>
      <c r="O22" s="6"/>
    </row>
    <row r="23" spans="1:15" x14ac:dyDescent="0.3">
      <c r="A23" s="6"/>
      <c r="B23" s="6"/>
      <c r="C23" s="6"/>
      <c r="D23" s="6"/>
      <c r="E23" s="6"/>
      <c r="F23" s="6"/>
      <c r="G23" s="6"/>
      <c r="H23" s="6"/>
      <c r="I23" s="6"/>
      <c r="J23" s="6"/>
      <c r="K23" s="6"/>
      <c r="L23" s="6"/>
      <c r="M23" s="6"/>
      <c r="N23" s="6"/>
      <c r="O23" s="6"/>
    </row>
    <row r="24" spans="1:15" x14ac:dyDescent="0.3">
      <c r="A24" s="6"/>
      <c r="B24" s="6"/>
      <c r="C24" s="6"/>
      <c r="D24" s="6"/>
      <c r="E24" s="6"/>
      <c r="F24" s="6"/>
      <c r="G24" s="6"/>
      <c r="H24" s="6"/>
      <c r="I24" s="6"/>
      <c r="J24" s="6"/>
      <c r="K24" s="6"/>
      <c r="L24" s="6"/>
      <c r="M24" s="6"/>
      <c r="N24" s="6"/>
      <c r="O24" s="6"/>
    </row>
    <row r="25" spans="1:15" x14ac:dyDescent="0.3">
      <c r="A25" s="6"/>
      <c r="B25" s="6"/>
      <c r="C25" s="6"/>
      <c r="D25" s="6"/>
      <c r="E25" s="6"/>
      <c r="F25" s="6"/>
      <c r="G25" s="6"/>
      <c r="H25" s="6"/>
      <c r="I25" s="6"/>
      <c r="J25" s="6"/>
      <c r="K25" s="6"/>
      <c r="L25" s="6"/>
      <c r="M25" s="6"/>
      <c r="N25" s="6"/>
      <c r="O25" s="6"/>
    </row>
    <row r="26" spans="1:15" x14ac:dyDescent="0.3">
      <c r="A26" s="6"/>
      <c r="B26" s="6"/>
      <c r="C26" s="6"/>
      <c r="D26" s="6"/>
      <c r="E26" s="6"/>
      <c r="F26" s="6"/>
      <c r="G26" s="6"/>
      <c r="H26" s="6"/>
      <c r="I26" s="6"/>
      <c r="J26" s="6"/>
      <c r="K26" s="6"/>
      <c r="L26" s="6"/>
      <c r="M26" s="6"/>
      <c r="N26" s="6"/>
      <c r="O26" s="6"/>
    </row>
    <row r="27" spans="1:15" x14ac:dyDescent="0.3">
      <c r="A27" s="6"/>
      <c r="B27" s="6"/>
      <c r="C27" s="6"/>
      <c r="D27" s="6"/>
      <c r="E27" s="6"/>
      <c r="F27" s="6"/>
      <c r="G27" s="6"/>
      <c r="H27" s="6"/>
      <c r="I27" s="6"/>
      <c r="J27" s="6"/>
      <c r="K27" s="6"/>
      <c r="L27" s="6"/>
      <c r="M27" s="6"/>
      <c r="N27" s="6"/>
      <c r="O27" s="6"/>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EAE5C-9972-4382-8861-FAC26DA904CF}">
  <dimension ref="A1"/>
  <sheetViews>
    <sheetView workbookViewId="0"/>
  </sheetViews>
  <sheetFormatPr defaultRowHeight="14.4" x14ac:dyDescent="0.3"/>
  <cols>
    <col min="1" max="16384" width="8.88671875" style="6"/>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46DBA-AC1C-4939-B27F-2428E64266E0}">
  <dimension ref="A1"/>
  <sheetViews>
    <sheetView workbookViewId="0">
      <selection activeCell="H29" sqref="H29"/>
    </sheetView>
  </sheetViews>
  <sheetFormatPr defaultRowHeight="14.4" x14ac:dyDescent="0.3"/>
  <cols>
    <col min="1" max="16384" width="8.88671875" style="6"/>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CF38A002-584C-4EEC-83F8-39D01FE24252}">
  <ds:schemaRefs/>
</ds:datastoreItem>
</file>

<file path=customXml/itemProps2.xml><?xml version="1.0" encoding="utf-8"?>
<ds:datastoreItem xmlns:ds="http://schemas.openxmlformats.org/officeDocument/2006/customXml" ds:itemID="{9C226D8D-C4BE-4A59-B589-F43606AE75E1}">
  <ds:schemaRefs/>
</ds:datastoreItem>
</file>

<file path=customXml/itemProps3.xml><?xml version="1.0" encoding="utf-8"?>
<ds:datastoreItem xmlns:ds="http://schemas.openxmlformats.org/officeDocument/2006/customXml" ds:itemID="{25945A97-C18F-499E-8F9A-B115195C498E}">
  <ds:schemaRefs/>
</ds:datastoreItem>
</file>

<file path=customXml/itemProps4.xml><?xml version="1.0" encoding="utf-8"?>
<ds:datastoreItem xmlns:ds="http://schemas.openxmlformats.org/officeDocument/2006/customXml" ds:itemID="{EE2B70A4-43F8-4972-A1C9-27A0A2B920AD}">
  <ds:schemaRefs/>
</ds:datastoreItem>
</file>

<file path=customXml/itemProps5.xml><?xml version="1.0" encoding="utf-8"?>
<ds:datastoreItem xmlns:ds="http://schemas.openxmlformats.org/officeDocument/2006/customXml" ds:itemID="{2F4441B9-1C09-4975-B056-63CE06DAED03}">
  <ds:schemaRefs/>
</ds:datastoreItem>
</file>

<file path=customXml/itemProps6.xml><?xml version="1.0" encoding="utf-8"?>
<ds:datastoreItem xmlns:ds="http://schemas.openxmlformats.org/officeDocument/2006/customXml" ds:itemID="{E9F8B247-B36F-4D4B-8173-93EEB8985AE2}">
  <ds:schemaRefs/>
</ds:datastoreItem>
</file>

<file path=customXml/itemProps7.xml><?xml version="1.0" encoding="utf-8"?>
<ds:datastoreItem xmlns:ds="http://schemas.openxmlformats.org/officeDocument/2006/customXml" ds:itemID="{C5D9A76F-BE47-4E73-A3F4-A7879D120F76}">
  <ds:schemaRefs/>
</ds:datastoreItem>
</file>

<file path=customXml/itemProps8.xml><?xml version="1.0" encoding="utf-8"?>
<ds:datastoreItem xmlns:ds="http://schemas.openxmlformats.org/officeDocument/2006/customXml" ds:itemID="{904651D2-F6A3-4D37-BD58-C9ED84532BFC}">
  <ds:schemaRefs/>
</ds:datastoreItem>
</file>

<file path=customXml/itemProps9.xml><?xml version="1.0" encoding="utf-8"?>
<ds:datastoreItem xmlns:ds="http://schemas.openxmlformats.org/officeDocument/2006/customXml" ds:itemID="{F24B3D31-3C36-4D6E-87AE-054518F35E44}">
  <ds:schemaRefs/>
</ds:datastoreItem>
</file>

<file path=customXml/itemProps10.xml><?xml version="1.0" encoding="utf-8"?>
<ds:datastoreItem xmlns:ds="http://schemas.openxmlformats.org/officeDocument/2006/customXml" ds:itemID="{D53BF225-CA2F-4593-A15F-13670303AF70}">
  <ds:schemaRefs/>
</ds:datastoreItem>
</file>

<file path=customXml/itemProps11.xml><?xml version="1.0" encoding="utf-8"?>
<ds:datastoreItem xmlns:ds="http://schemas.openxmlformats.org/officeDocument/2006/customXml" ds:itemID="{C68A7623-8E59-4DF9-9253-0AFA53AF8F84}">
  <ds:schemaRefs>
    <ds:schemaRef ds:uri="http://schemas.microsoft.com/DataMashup"/>
  </ds:schemaRefs>
</ds:datastoreItem>
</file>

<file path=customXml/itemProps12.xml><?xml version="1.0" encoding="utf-8"?>
<ds:datastoreItem xmlns:ds="http://schemas.openxmlformats.org/officeDocument/2006/customXml" ds:itemID="{DDA4F76E-1F07-46E3-802E-0317B2AA1097}">
  <ds:schemaRefs/>
</ds:datastoreItem>
</file>

<file path=customXml/itemProps13.xml><?xml version="1.0" encoding="utf-8"?>
<ds:datastoreItem xmlns:ds="http://schemas.openxmlformats.org/officeDocument/2006/customXml" ds:itemID="{820B0BF5-51A7-4FDA-AAD2-3432D43962B4}">
  <ds:schemaRefs/>
</ds:datastoreItem>
</file>

<file path=customXml/itemProps14.xml><?xml version="1.0" encoding="utf-8"?>
<ds:datastoreItem xmlns:ds="http://schemas.openxmlformats.org/officeDocument/2006/customXml" ds:itemID="{52C56369-EE6E-4A0D-BE77-82EC32C01B8E}">
  <ds:schemaRefs/>
</ds:datastoreItem>
</file>

<file path=customXml/itemProps15.xml><?xml version="1.0" encoding="utf-8"?>
<ds:datastoreItem xmlns:ds="http://schemas.openxmlformats.org/officeDocument/2006/customXml" ds:itemID="{54DADE33-BCBE-4F2D-9286-AE174AEF55BA}">
  <ds:schemaRefs/>
</ds:datastoreItem>
</file>

<file path=customXml/itemProps16.xml><?xml version="1.0" encoding="utf-8"?>
<ds:datastoreItem xmlns:ds="http://schemas.openxmlformats.org/officeDocument/2006/customXml" ds:itemID="{97410D02-ACA4-4541-920B-77778B5B34DB}">
  <ds:schemaRefs/>
</ds:datastoreItem>
</file>

<file path=customXml/itemProps17.xml><?xml version="1.0" encoding="utf-8"?>
<ds:datastoreItem xmlns:ds="http://schemas.openxmlformats.org/officeDocument/2006/customXml" ds:itemID="{9A04445D-E770-49AC-A97D-226741258AD4}">
  <ds:schemaRefs/>
</ds:datastoreItem>
</file>

<file path=customXml/itemProps18.xml><?xml version="1.0" encoding="utf-8"?>
<ds:datastoreItem xmlns:ds="http://schemas.openxmlformats.org/officeDocument/2006/customXml" ds:itemID="{E12C6C00-2670-4383-A292-389DEB2A4E8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PIVOT_REPORT</vt:lpstr>
      <vt:lpstr>DASHBOARD</vt:lpstr>
      <vt:lpstr>Daily_patient_No_ER </vt:lpstr>
      <vt:lpstr>Average_Wait_Time_Patient_ER</vt:lpstr>
      <vt:lpstr>Satisfaction_Patient_score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AMAAN</dc:creator>
  <cp:lastModifiedBy>MUHAMMAD AMAAN</cp:lastModifiedBy>
  <dcterms:created xsi:type="dcterms:W3CDTF">2025-09-29T08:05:37Z</dcterms:created>
  <dcterms:modified xsi:type="dcterms:W3CDTF">2025-09-29T17:15:33Z</dcterms:modified>
</cp:coreProperties>
</file>